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7fa569b3d30725/Documents/"/>
    </mc:Choice>
  </mc:AlternateContent>
  <xr:revisionPtr revIDLastSave="343" documentId="8_{AC045A0A-EAD3-41E2-B430-34D56427A140}" xr6:coauthVersionLast="47" xr6:coauthVersionMax="47" xr10:uidLastSave="{6A46F6A7-C8EC-4BBC-B10D-D8022AB0146A}"/>
  <bookViews>
    <workbookView xWindow="-108" yWindow="-108" windowWidth="23256" windowHeight="12456" activeTab="2" xr2:uid="{678290C0-92D7-4A67-B057-AA12AE9995F3}"/>
  </bookViews>
  <sheets>
    <sheet name="WA_Fn-UseC_-Telco-Customer-Chur" sheetId="1" r:id="rId1"/>
    <sheet name="Analysis" sheetId="3" r:id="rId2"/>
    <sheet name="Dashboar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3" l="1"/>
  <c r="B40" i="3"/>
  <c r="B36" i="3"/>
  <c r="B35" i="3"/>
  <c r="B31" i="3"/>
  <c r="B30" i="3"/>
  <c r="B29" i="3"/>
  <c r="B28" i="3"/>
  <c r="C22" i="3"/>
  <c r="C23" i="3"/>
  <c r="C24" i="3"/>
  <c r="C21" i="3"/>
  <c r="B22" i="3"/>
  <c r="B23" i="3"/>
  <c r="B24" i="3"/>
  <c r="B21" i="3"/>
  <c r="C16" i="3"/>
  <c r="C17" i="3"/>
  <c r="C15" i="3"/>
  <c r="B16" i="3"/>
  <c r="B17" i="3"/>
  <c r="B15" i="3"/>
  <c r="C10" i="3"/>
  <c r="C11" i="3"/>
  <c r="C9" i="3"/>
  <c r="B10" i="3"/>
  <c r="B11" i="3"/>
  <c r="B9" i="3"/>
  <c r="B5" i="3"/>
  <c r="B4" i="3"/>
  <c r="A2" i="3"/>
</calcChain>
</file>

<file path=xl/sharedStrings.xml><?xml version="1.0" encoding="utf-8"?>
<sst xmlns="http://schemas.openxmlformats.org/spreadsheetml/2006/main" count="119835" uniqueCount="7109">
  <si>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</si>
  <si>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</si>
  <si>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</si>
  <si>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</si>
  <si>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</si>
  <si>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</si>
  <si>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</si>
  <si>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</si>
  <si>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</si>
  <si>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</si>
  <si>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</si>
  <si>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</si>
  <si>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</si>
  <si>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</si>
  <si>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</si>
  <si>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</si>
  <si>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</si>
  <si>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</si>
  <si>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</si>
  <si>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</si>
  <si>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</si>
  <si>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</si>
  <si>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</si>
  <si>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</si>
  <si>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</si>
  <si>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</si>
  <si>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</si>
  <si>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</si>
  <si>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</si>
  <si>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</si>
  <si>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</si>
  <si>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</si>
  <si>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</si>
  <si>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</si>
  <si>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</si>
  <si>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</si>
  <si>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</si>
  <si>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</si>
  <si>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</si>
  <si>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</si>
  <si>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</si>
  <si>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</si>
  <si>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</si>
  <si>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</si>
  <si>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</si>
  <si>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</si>
  <si>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</si>
  <si>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</si>
  <si>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</si>
  <si>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</si>
  <si>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</si>
  <si>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</si>
  <si>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</si>
  <si>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</si>
  <si>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</si>
  <si>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</si>
  <si>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</si>
  <si>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</si>
  <si>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</si>
  <si>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</si>
  <si>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</si>
  <si>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</si>
  <si>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</si>
  <si>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</si>
  <si>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</si>
  <si>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</si>
  <si>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</si>
  <si>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</si>
  <si>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</si>
  <si>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</si>
  <si>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</si>
  <si>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</si>
  <si>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</si>
  <si>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</si>
  <si>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</si>
  <si>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</si>
  <si>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</si>
  <si>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</si>
  <si>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</si>
  <si>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</si>
  <si>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</si>
  <si>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</si>
  <si>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</si>
  <si>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</si>
  <si>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</si>
  <si>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</si>
  <si>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</si>
  <si>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</si>
  <si>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</si>
  <si>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</si>
  <si>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</si>
  <si>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</si>
  <si>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</si>
  <si>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</si>
  <si>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</si>
  <si>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</si>
  <si>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</si>
  <si>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</si>
  <si>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</si>
  <si>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</si>
  <si>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</si>
  <si>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</si>
  <si>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</si>
  <si>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</si>
  <si>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</si>
  <si>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</si>
  <si>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</si>
  <si>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</si>
  <si>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</si>
  <si>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</si>
  <si>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</si>
  <si>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</si>
  <si>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</si>
  <si>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</si>
  <si>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</si>
  <si>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</si>
  <si>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</si>
  <si>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</si>
  <si>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</si>
  <si>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</si>
  <si>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</si>
  <si>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</si>
  <si>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</si>
  <si>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</si>
  <si>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</si>
  <si>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</si>
  <si>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</si>
  <si>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</si>
  <si>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</si>
  <si>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</si>
  <si>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</si>
  <si>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</si>
  <si>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</si>
  <si>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</si>
  <si>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</si>
  <si>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</si>
  <si>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</si>
  <si>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</si>
  <si>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</si>
  <si>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</si>
  <si>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</si>
  <si>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</si>
  <si>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</si>
  <si>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</si>
  <si>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</si>
  <si>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</si>
  <si>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</si>
  <si>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</si>
  <si>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</si>
  <si>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</si>
  <si>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</si>
  <si>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</si>
  <si>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</si>
  <si>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</si>
  <si>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</si>
  <si>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</si>
  <si>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</si>
  <si>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</si>
  <si>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</si>
  <si>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</si>
  <si>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</si>
  <si>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</si>
  <si>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</si>
  <si>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</si>
  <si>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</si>
  <si>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</si>
  <si>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</si>
  <si>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</si>
  <si>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</si>
  <si>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</si>
  <si>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</si>
  <si>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</si>
  <si>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</si>
  <si>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</si>
  <si>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</si>
  <si>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</si>
  <si>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</si>
  <si>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</si>
  <si>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</si>
  <si>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</si>
  <si>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</si>
  <si>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</si>
  <si>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</si>
  <si>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</si>
  <si>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</si>
  <si>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</si>
  <si>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</si>
  <si>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</si>
  <si>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</si>
  <si>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</si>
  <si>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</si>
  <si>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</si>
  <si>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</si>
  <si>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</si>
  <si>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</si>
  <si>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</si>
  <si>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</si>
  <si>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</si>
  <si>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</si>
  <si>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</si>
  <si>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</si>
  <si>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</si>
  <si>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</si>
  <si>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</si>
  <si>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</si>
  <si>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</si>
  <si>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</si>
  <si>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</si>
  <si>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</si>
  <si>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</si>
  <si>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</si>
  <si>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</si>
  <si>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</si>
  <si>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</si>
  <si>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</si>
  <si>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</si>
  <si>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</si>
  <si>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</si>
  <si>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</si>
  <si>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</si>
  <si>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</si>
  <si>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</si>
  <si>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</si>
  <si>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</si>
  <si>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</si>
  <si>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</si>
  <si>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</si>
  <si>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</si>
  <si>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</si>
  <si>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</si>
  <si>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</si>
  <si>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</si>
  <si>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</si>
  <si>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</si>
  <si>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</si>
  <si>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</si>
  <si>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</si>
  <si>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</si>
  <si>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</si>
  <si>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</si>
  <si>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</si>
  <si>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</si>
  <si>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</si>
  <si>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</si>
  <si>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</si>
  <si>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</si>
  <si>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</si>
  <si>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</si>
  <si>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</si>
  <si>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</si>
  <si>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</si>
  <si>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</si>
  <si>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</si>
  <si>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</si>
  <si>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</si>
  <si>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</si>
  <si>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</si>
  <si>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</si>
  <si>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</si>
  <si>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</si>
  <si>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</si>
  <si>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</si>
  <si>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</si>
  <si>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</si>
  <si>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</si>
  <si>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</si>
  <si>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</si>
  <si>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</si>
  <si>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</si>
  <si>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</si>
  <si>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</si>
  <si>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</si>
  <si>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</si>
  <si>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</si>
  <si>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</si>
  <si>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</si>
  <si>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</si>
  <si>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</si>
  <si>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</si>
  <si>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</si>
  <si>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</si>
  <si>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</si>
  <si>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</si>
  <si>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</si>
  <si>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</si>
  <si>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</si>
  <si>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</si>
  <si>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</si>
  <si>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</si>
  <si>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</si>
  <si>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</si>
  <si>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</si>
  <si>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</si>
  <si>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</si>
  <si>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</si>
  <si>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</si>
  <si>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</si>
  <si>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</si>
  <si>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</si>
  <si>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</si>
  <si>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</si>
  <si>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</si>
  <si>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</si>
  <si>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</si>
  <si>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</si>
  <si>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</si>
  <si>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</si>
  <si>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</si>
  <si>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</si>
  <si>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</si>
  <si>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</si>
  <si>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</si>
  <si>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</si>
  <si>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</si>
  <si>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</si>
  <si>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</si>
  <si>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</si>
  <si>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</si>
  <si>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</si>
  <si>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</si>
  <si>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</si>
  <si>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</si>
  <si>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</si>
  <si>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</si>
  <si>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</si>
  <si>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</si>
  <si>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</si>
  <si>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</si>
  <si>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</si>
  <si>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</si>
  <si>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</si>
  <si>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</si>
  <si>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</si>
  <si>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</si>
  <si>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</si>
  <si>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</si>
  <si>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</si>
  <si>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</si>
  <si>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</si>
  <si>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</si>
  <si>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</si>
  <si>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</si>
  <si>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</si>
  <si>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</si>
  <si>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</si>
  <si>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</si>
  <si>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</si>
  <si>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</si>
  <si>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</si>
  <si>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</si>
  <si>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</si>
  <si>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</si>
  <si>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</si>
  <si>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</si>
  <si>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</si>
  <si>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</si>
  <si>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</si>
  <si>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</si>
  <si>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</si>
  <si>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</si>
  <si>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</si>
  <si>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</si>
  <si>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</si>
  <si>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</si>
  <si>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</si>
  <si>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</si>
  <si>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</si>
  <si>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</si>
  <si>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</si>
  <si>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</si>
  <si>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</si>
  <si>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</si>
  <si>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</si>
  <si>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</si>
  <si>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</si>
  <si>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</si>
  <si>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</si>
  <si>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</si>
  <si>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</si>
  <si>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</si>
  <si>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</si>
  <si>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</si>
  <si>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</si>
  <si>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</si>
  <si>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</si>
  <si>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</si>
  <si>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</si>
  <si>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</si>
  <si>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</si>
  <si>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</si>
  <si>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</si>
  <si>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</si>
  <si>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</si>
  <si>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</si>
  <si>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</si>
  <si>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</si>
  <si>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</si>
  <si>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</si>
  <si>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</si>
  <si>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</si>
  <si>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</si>
  <si>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</si>
  <si>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</si>
  <si>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</si>
  <si>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</si>
  <si>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</si>
  <si>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</si>
  <si>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</si>
  <si>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</si>
  <si>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</si>
  <si>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</si>
  <si>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</si>
  <si>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</si>
  <si>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</si>
  <si>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</si>
  <si>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</si>
  <si>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</si>
  <si>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</si>
  <si>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</si>
  <si>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</si>
  <si>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</si>
  <si>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</si>
  <si>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</si>
  <si>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</si>
  <si>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</si>
  <si>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</si>
  <si>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</si>
  <si>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</si>
  <si>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</si>
  <si>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</si>
  <si>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</si>
  <si>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</si>
  <si>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</si>
  <si>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</si>
  <si>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</si>
  <si>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</si>
  <si>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</si>
  <si>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</si>
  <si>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</si>
  <si>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</si>
  <si>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</si>
  <si>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</si>
  <si>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</si>
  <si>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</si>
  <si>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</si>
  <si>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</si>
  <si>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</si>
  <si>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</si>
  <si>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</si>
  <si>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</si>
  <si>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</si>
  <si>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</si>
  <si>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</si>
  <si>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</si>
  <si>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</si>
  <si>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</si>
  <si>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</si>
  <si>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</si>
  <si>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</si>
  <si>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</si>
  <si>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</si>
  <si>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</si>
  <si>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</si>
  <si>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</si>
  <si>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</si>
  <si>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</si>
  <si>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</si>
  <si>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</si>
  <si>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</si>
  <si>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</si>
  <si>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</si>
  <si>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</si>
  <si>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</si>
  <si>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</si>
  <si>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</si>
  <si>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</si>
  <si>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</si>
  <si>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</si>
  <si>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</si>
  <si>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</si>
  <si>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</si>
  <si>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</si>
  <si>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</si>
  <si>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</si>
  <si>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</si>
  <si>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</si>
  <si>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</si>
  <si>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</si>
  <si>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</si>
  <si>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</si>
  <si>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</si>
  <si>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</si>
  <si>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</si>
  <si>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</si>
  <si>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</si>
  <si>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</si>
  <si>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</si>
  <si>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</si>
  <si>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</si>
  <si>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</si>
  <si>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</si>
  <si>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</si>
  <si>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</si>
  <si>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</si>
  <si>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</si>
  <si>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</si>
  <si>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</si>
  <si>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</si>
  <si>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</si>
  <si>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</si>
  <si>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</si>
  <si>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</si>
  <si>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</si>
  <si>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</si>
  <si>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</si>
  <si>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</si>
  <si>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</si>
  <si>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</si>
  <si>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</si>
  <si>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</si>
  <si>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</si>
  <si>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</si>
  <si>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</si>
  <si>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</si>
  <si>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</si>
  <si>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</si>
  <si>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</si>
  <si>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</si>
  <si>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</si>
  <si>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</si>
  <si>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</si>
  <si>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</si>
  <si>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</si>
  <si>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</si>
  <si>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</si>
  <si>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</si>
  <si>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</si>
  <si>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</si>
  <si>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</si>
  <si>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</si>
  <si>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</si>
  <si>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</si>
  <si>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</si>
  <si>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</si>
  <si>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</si>
  <si>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</si>
  <si>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</si>
  <si>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</si>
  <si>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</si>
  <si>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</si>
  <si>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</si>
  <si>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</si>
  <si>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</si>
  <si>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</si>
  <si>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</si>
  <si>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</si>
  <si>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</si>
  <si>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</si>
  <si>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</si>
  <si>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</si>
  <si>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</si>
  <si>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</si>
  <si>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</si>
  <si>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</si>
  <si>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</si>
  <si>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</si>
  <si>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</si>
  <si>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</si>
  <si>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</si>
  <si>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</si>
  <si>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</si>
  <si>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</si>
  <si>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</si>
  <si>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</si>
  <si>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</si>
  <si>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</si>
  <si>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</si>
  <si>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</si>
  <si>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</si>
  <si>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</si>
  <si>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</si>
  <si>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</si>
  <si>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</si>
  <si>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</si>
  <si>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</si>
  <si>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</si>
  <si>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</si>
  <si>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</si>
  <si>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</si>
  <si>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</si>
  <si>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</si>
  <si>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</si>
  <si>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</si>
  <si>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</si>
  <si>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</si>
  <si>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</si>
  <si>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</si>
  <si>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</si>
  <si>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</si>
  <si>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</si>
  <si>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</si>
  <si>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</si>
  <si>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</si>
  <si>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</si>
  <si>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</si>
  <si>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</si>
  <si>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</si>
  <si>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</si>
  <si>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</si>
  <si>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</si>
  <si>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</si>
  <si>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</si>
  <si>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</si>
  <si>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</si>
  <si>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</si>
  <si>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</si>
  <si>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</si>
  <si>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</si>
  <si>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</si>
  <si>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</si>
  <si>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</si>
  <si>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</si>
  <si>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</si>
  <si>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</si>
  <si>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</si>
  <si>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</si>
  <si>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</si>
  <si>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</si>
  <si>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</si>
  <si>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</si>
  <si>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</si>
  <si>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</si>
  <si>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</si>
  <si>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</si>
  <si>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</si>
  <si>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</si>
  <si>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</si>
  <si>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</si>
  <si>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</si>
  <si>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</si>
  <si>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</si>
  <si>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</si>
  <si>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</si>
  <si>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</si>
  <si>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</si>
  <si>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</si>
  <si>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</si>
  <si>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</si>
  <si>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</si>
  <si>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</si>
  <si>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</si>
  <si>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</si>
  <si>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</si>
  <si>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</si>
  <si>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</si>
  <si>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</si>
  <si>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</si>
  <si>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</si>
  <si>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</si>
  <si>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</si>
  <si>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</si>
  <si>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</si>
  <si>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</si>
  <si>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</si>
  <si>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</si>
  <si>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</si>
  <si>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</si>
  <si>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</si>
  <si>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</si>
  <si>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</si>
  <si>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</si>
  <si>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</si>
  <si>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</si>
  <si>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</si>
  <si>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</si>
  <si>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</si>
  <si>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</si>
  <si>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</si>
  <si>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</si>
  <si>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</si>
  <si>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</si>
  <si>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</si>
  <si>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</si>
  <si>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</si>
  <si>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</si>
  <si>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</si>
  <si>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</si>
  <si>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</si>
  <si>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</si>
  <si>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</si>
  <si>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</si>
  <si>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</si>
  <si>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</si>
  <si>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</si>
  <si>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</si>
  <si>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</si>
  <si>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</si>
  <si>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</si>
  <si>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</si>
  <si>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</si>
  <si>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</si>
  <si>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</si>
  <si>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</si>
  <si>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</si>
  <si>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</si>
  <si>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</si>
  <si>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</si>
  <si>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</si>
  <si>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</si>
  <si>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</si>
  <si>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</si>
  <si>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</si>
  <si>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</si>
  <si>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</si>
  <si>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</si>
  <si>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</si>
  <si>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</si>
  <si>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</si>
  <si>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</si>
  <si>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</si>
  <si>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</si>
  <si>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</si>
  <si>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</si>
  <si>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</si>
  <si>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</si>
  <si>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</si>
  <si>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</si>
  <si>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</si>
  <si>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</si>
  <si>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</si>
  <si>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</si>
  <si>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</si>
  <si>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</si>
  <si>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</si>
  <si>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</si>
  <si>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</si>
  <si>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</si>
  <si>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</si>
  <si>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</si>
  <si>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</si>
  <si>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</si>
  <si>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</si>
  <si>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</si>
  <si>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</si>
  <si>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</si>
  <si>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</si>
  <si>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</si>
  <si>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</si>
  <si>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</si>
  <si>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</si>
  <si>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</si>
  <si>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</si>
  <si>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</si>
  <si>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</si>
  <si>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</si>
  <si>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</si>
  <si>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</si>
  <si>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</si>
  <si>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</si>
  <si>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</si>
  <si>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</si>
  <si>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</si>
  <si>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</si>
  <si>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</si>
  <si>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</si>
  <si>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</si>
  <si>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</si>
  <si>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</si>
  <si>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</si>
  <si>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</si>
  <si>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</si>
  <si>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</si>
  <si>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</si>
  <si>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</si>
  <si>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</si>
  <si>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</si>
  <si>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</si>
  <si>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</si>
  <si>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</si>
  <si>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</si>
  <si>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</si>
  <si>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</si>
  <si>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</si>
  <si>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</si>
  <si>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</si>
  <si>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</si>
  <si>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</si>
  <si>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</si>
  <si>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</si>
  <si>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</si>
  <si>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</si>
  <si>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</si>
  <si>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</si>
  <si>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</si>
  <si>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</si>
  <si>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</si>
  <si>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</si>
  <si>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</si>
  <si>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</si>
  <si>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</si>
  <si>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</si>
  <si>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</si>
  <si>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</si>
  <si>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</si>
  <si>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</si>
  <si>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</si>
  <si>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</si>
  <si>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</si>
  <si>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</si>
  <si>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</si>
  <si>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</si>
  <si>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</si>
  <si>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</si>
  <si>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</si>
  <si>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</si>
  <si>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</si>
  <si>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</si>
  <si>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</si>
  <si>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</si>
  <si>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</si>
  <si>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</si>
  <si>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</si>
  <si>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</si>
  <si>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</si>
  <si>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</si>
  <si>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</si>
  <si>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</si>
  <si>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</si>
  <si>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</si>
  <si>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</si>
  <si>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</si>
  <si>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</si>
  <si>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</si>
  <si>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</si>
  <si>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</si>
  <si>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</si>
  <si>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</si>
  <si>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</si>
  <si>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</si>
  <si>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</si>
  <si>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</si>
  <si>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</si>
  <si>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</si>
  <si>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</si>
  <si>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</si>
  <si>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</si>
  <si>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</si>
  <si>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</si>
  <si>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</si>
  <si>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</si>
  <si>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</si>
  <si>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</si>
  <si>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</si>
  <si>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</si>
  <si>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</si>
  <si>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</si>
  <si>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</si>
  <si>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</si>
  <si>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</si>
  <si>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</si>
  <si>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</si>
  <si>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</si>
  <si>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</si>
  <si>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</si>
  <si>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</si>
  <si>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</si>
  <si>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</si>
  <si>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</si>
  <si>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</si>
  <si>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</si>
  <si>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</si>
  <si>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</si>
  <si>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</si>
  <si>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</si>
  <si>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</si>
  <si>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</si>
  <si>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</si>
  <si>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</si>
  <si>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</si>
  <si>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</si>
  <si>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</si>
  <si>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</si>
  <si>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</si>
  <si>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</si>
  <si>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</si>
  <si>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</si>
  <si>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</si>
  <si>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</si>
  <si>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</si>
  <si>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</si>
  <si>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</si>
  <si>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</si>
  <si>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</si>
  <si>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</si>
  <si>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</si>
  <si>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</si>
  <si>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</si>
  <si>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</si>
  <si>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</si>
  <si>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</si>
  <si>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</si>
  <si>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</si>
  <si>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</si>
  <si>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</si>
  <si>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</si>
  <si>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</si>
  <si>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</si>
  <si>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</si>
  <si>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</si>
  <si>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</si>
  <si>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</si>
  <si>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</si>
  <si>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</si>
  <si>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</si>
  <si>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</si>
  <si>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</si>
  <si>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</si>
  <si>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</si>
  <si>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</si>
  <si>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</si>
  <si>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</si>
  <si>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</si>
  <si>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</si>
  <si>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</si>
  <si>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</si>
  <si>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</si>
  <si>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</si>
  <si>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</si>
  <si>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</si>
  <si>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</si>
  <si>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</si>
  <si>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</si>
  <si>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</si>
  <si>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</si>
  <si>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</si>
  <si>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</si>
  <si>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</si>
  <si>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</si>
  <si>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</si>
  <si>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</si>
  <si>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</si>
  <si>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</si>
  <si>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</si>
  <si>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</si>
  <si>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</si>
  <si>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</si>
  <si>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</si>
  <si>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</si>
  <si>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</si>
  <si>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</si>
  <si>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</si>
  <si>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</si>
  <si>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</si>
  <si>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</si>
  <si>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</si>
  <si>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</si>
  <si>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</si>
  <si>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</si>
  <si>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</si>
  <si>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</si>
  <si>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</si>
  <si>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</si>
  <si>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</si>
  <si>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</si>
  <si>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</si>
  <si>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</si>
  <si>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</si>
  <si>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</si>
  <si>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</si>
  <si>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</si>
  <si>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</si>
  <si>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</si>
  <si>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</si>
  <si>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</si>
  <si>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</si>
  <si>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</si>
  <si>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</si>
  <si>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</si>
  <si>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</si>
  <si>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</si>
  <si>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</si>
  <si>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</si>
  <si>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</si>
  <si>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</si>
  <si>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</si>
  <si>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</si>
  <si>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</si>
  <si>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</si>
  <si>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</si>
  <si>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</si>
  <si>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</si>
  <si>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</si>
  <si>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</si>
  <si>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</si>
  <si>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</si>
  <si>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</si>
  <si>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</si>
  <si>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</si>
  <si>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</si>
  <si>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</si>
  <si>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</si>
  <si>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</si>
  <si>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</si>
  <si>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</si>
  <si>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</si>
  <si>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</si>
  <si>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</si>
  <si>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</si>
  <si>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</si>
  <si>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</si>
  <si>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</si>
  <si>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</si>
  <si>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</si>
  <si>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</si>
  <si>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</si>
  <si>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</si>
  <si>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</si>
  <si>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</si>
  <si>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</si>
  <si>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</si>
  <si>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</si>
  <si>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</si>
  <si>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</si>
  <si>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</si>
  <si>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</si>
  <si>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</si>
  <si>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</si>
  <si>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</si>
  <si>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</si>
  <si>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</si>
  <si>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</si>
  <si>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</si>
  <si>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</si>
  <si>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</si>
  <si>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</si>
  <si>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</si>
  <si>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</si>
  <si>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</si>
  <si>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</si>
  <si>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</si>
  <si>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</si>
  <si>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</si>
  <si>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</si>
  <si>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</si>
  <si>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</si>
  <si>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</si>
  <si>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</si>
  <si>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</si>
  <si>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</si>
  <si>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</si>
  <si>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</si>
  <si>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</si>
  <si>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</si>
  <si>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</si>
  <si>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</si>
  <si>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</si>
  <si>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</si>
  <si>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</si>
  <si>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</si>
  <si>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</si>
  <si>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</si>
  <si>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</si>
  <si>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</si>
  <si>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</si>
  <si>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</si>
  <si>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</si>
  <si>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</si>
  <si>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</si>
  <si>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</si>
  <si>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</si>
  <si>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</si>
  <si>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</si>
  <si>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</si>
  <si>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</si>
  <si>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</si>
  <si>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</si>
  <si>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</si>
  <si>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</si>
  <si>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</si>
  <si>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</si>
  <si>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</si>
  <si>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</si>
  <si>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</si>
  <si>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</si>
  <si>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</si>
  <si>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</si>
  <si>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</si>
  <si>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</si>
  <si>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</si>
  <si>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</si>
  <si>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</si>
  <si>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</si>
  <si>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</si>
  <si>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</si>
  <si>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</si>
  <si>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</si>
  <si>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</si>
  <si>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</si>
  <si>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</si>
  <si>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</si>
  <si>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</si>
  <si>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</si>
  <si>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</si>
  <si>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</si>
  <si>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</si>
  <si>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</si>
  <si>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</si>
  <si>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</si>
  <si>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</si>
  <si>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</si>
  <si>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</si>
  <si>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</si>
  <si>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</si>
  <si>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</si>
  <si>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</si>
  <si>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</si>
  <si>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</si>
  <si>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</si>
  <si>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</si>
  <si>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</si>
  <si>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</si>
  <si>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</si>
  <si>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</si>
  <si>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</si>
  <si>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</si>
  <si>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</si>
  <si>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</si>
  <si>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</si>
  <si>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</si>
  <si>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</si>
  <si>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</si>
  <si>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</si>
  <si>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</si>
  <si>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</si>
  <si>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</si>
  <si>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</si>
  <si>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</si>
  <si>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</si>
  <si>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</si>
  <si>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</si>
  <si>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</si>
  <si>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</si>
  <si>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</si>
  <si>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</si>
  <si>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</si>
  <si>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</si>
  <si>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</si>
  <si>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</si>
  <si>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</si>
  <si>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</si>
  <si>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</si>
  <si>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</si>
  <si>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</si>
  <si>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</si>
  <si>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</si>
  <si>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</si>
  <si>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</si>
  <si>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</si>
  <si>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</si>
  <si>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</si>
  <si>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</si>
  <si>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</si>
  <si>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</si>
  <si>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</si>
  <si>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</si>
  <si>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</si>
  <si>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</si>
  <si>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</si>
  <si>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</si>
  <si>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</si>
  <si>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</si>
  <si>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</si>
  <si>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</si>
  <si>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</si>
  <si>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</si>
  <si>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</si>
  <si>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</si>
  <si>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</si>
  <si>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</si>
  <si>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</si>
  <si>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</si>
  <si>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</si>
  <si>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</si>
  <si>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</si>
  <si>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</si>
  <si>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</si>
  <si>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</si>
  <si>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</si>
  <si>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</si>
  <si>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</si>
  <si>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</si>
  <si>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</si>
  <si>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</si>
  <si>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</si>
  <si>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</si>
  <si>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</si>
  <si>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</si>
  <si>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</si>
  <si>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</si>
  <si>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</si>
  <si>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</si>
  <si>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</si>
  <si>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</si>
  <si>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</si>
  <si>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</si>
  <si>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</si>
  <si>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</si>
  <si>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</si>
  <si>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</si>
  <si>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</si>
  <si>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</si>
  <si>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</si>
  <si>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</si>
  <si>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</si>
  <si>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</si>
  <si>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</si>
  <si>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</si>
  <si>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</si>
  <si>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</si>
  <si>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</si>
  <si>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</si>
  <si>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</si>
  <si>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</si>
  <si>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</si>
  <si>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</si>
  <si>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</si>
  <si>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</si>
  <si>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</si>
  <si>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</si>
  <si>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</si>
  <si>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</si>
  <si>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</si>
  <si>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</si>
  <si>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</si>
  <si>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</si>
  <si>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</si>
  <si>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</si>
  <si>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</si>
  <si>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</si>
  <si>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</si>
  <si>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</si>
  <si>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</si>
  <si>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</si>
  <si>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</si>
  <si>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</si>
  <si>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</si>
  <si>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</si>
  <si>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</si>
  <si>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</si>
  <si>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</si>
  <si>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</si>
  <si>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</si>
  <si>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</si>
  <si>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</si>
  <si>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</si>
  <si>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</si>
  <si>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</si>
  <si>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</si>
  <si>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</si>
  <si>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</si>
  <si>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</si>
  <si>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</si>
  <si>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</si>
  <si>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</si>
  <si>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</si>
  <si>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</si>
  <si>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</si>
  <si>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</si>
  <si>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</si>
  <si>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</si>
  <si>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</si>
  <si>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</si>
  <si>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</si>
  <si>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</si>
  <si>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</si>
  <si>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</si>
  <si>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</si>
  <si>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</si>
  <si>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</si>
  <si>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</si>
  <si>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</si>
  <si>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</si>
  <si>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</si>
  <si>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</si>
  <si>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</si>
  <si>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</si>
  <si>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</si>
  <si>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</si>
  <si>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</si>
  <si>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</si>
  <si>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</si>
  <si>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</si>
  <si>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</si>
  <si>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</si>
  <si>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</si>
  <si>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</si>
  <si>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</si>
  <si>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</si>
  <si>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</si>
  <si>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</si>
  <si>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</si>
  <si>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</si>
  <si>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</si>
  <si>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</si>
  <si>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</si>
  <si>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</si>
  <si>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</si>
  <si>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</si>
  <si>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</si>
  <si>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</si>
  <si>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</si>
  <si>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</si>
  <si>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</si>
  <si>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</si>
  <si>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</si>
  <si>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</si>
  <si>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</si>
  <si>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</si>
  <si>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</si>
  <si>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</si>
  <si>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</si>
  <si>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</si>
  <si>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</si>
  <si>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</si>
  <si>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</si>
  <si>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</si>
  <si>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</si>
  <si>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</si>
  <si>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</si>
  <si>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</si>
  <si>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</si>
  <si>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</si>
  <si>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</si>
  <si>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</si>
  <si>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</si>
  <si>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</si>
  <si>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</si>
  <si>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</si>
  <si>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</si>
  <si>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</si>
  <si>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</si>
  <si>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</si>
  <si>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</si>
  <si>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</si>
  <si>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</si>
  <si>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</si>
  <si>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</si>
  <si>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</si>
  <si>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</si>
  <si>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</si>
  <si>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</si>
  <si>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</si>
  <si>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</si>
  <si>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</si>
  <si>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</si>
  <si>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</si>
  <si>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</si>
  <si>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</si>
  <si>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</si>
  <si>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</si>
  <si>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</si>
  <si>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</si>
  <si>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</si>
  <si>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</si>
  <si>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</si>
  <si>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</si>
  <si>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</si>
  <si>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</si>
  <si>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</si>
  <si>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</si>
  <si>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</si>
  <si>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</si>
  <si>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</si>
  <si>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</si>
  <si>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</si>
  <si>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</si>
  <si>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</si>
  <si>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</si>
  <si>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</si>
  <si>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</si>
  <si>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</si>
  <si>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</si>
  <si>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</si>
  <si>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</si>
  <si>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</si>
  <si>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</si>
  <si>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</si>
  <si>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</si>
  <si>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</si>
  <si>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</si>
  <si>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</si>
  <si>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</si>
  <si>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</si>
  <si>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</si>
  <si>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</si>
  <si>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</si>
  <si>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</si>
  <si>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</si>
  <si>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</si>
  <si>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</si>
  <si>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</si>
  <si>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</si>
  <si>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</si>
  <si>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</si>
  <si>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</si>
  <si>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</si>
  <si>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</si>
  <si>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</si>
  <si>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</si>
  <si>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</si>
  <si>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</si>
  <si>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</si>
  <si>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</si>
  <si>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</si>
  <si>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</si>
  <si>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</si>
  <si>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</si>
  <si>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</si>
  <si>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</si>
  <si>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</si>
  <si>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</si>
  <si>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</si>
  <si>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</si>
  <si>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</si>
  <si>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</si>
  <si>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</si>
  <si>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</si>
  <si>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</si>
  <si>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</si>
  <si>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</si>
  <si>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</si>
  <si>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</si>
  <si>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</si>
  <si>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</si>
  <si>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</si>
  <si>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</si>
  <si>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</si>
  <si>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</si>
  <si>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</si>
  <si>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</si>
  <si>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</si>
  <si>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</si>
  <si>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</si>
  <si>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</si>
  <si>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</si>
  <si>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</si>
  <si>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</si>
  <si>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</si>
  <si>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</si>
  <si>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</si>
  <si>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</si>
  <si>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</si>
  <si>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</si>
  <si>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</si>
  <si>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</si>
  <si>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</si>
  <si>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</si>
  <si>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</si>
  <si>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</si>
  <si>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</si>
  <si>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</si>
  <si>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</si>
  <si>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</si>
  <si>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</si>
  <si>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</si>
  <si>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</si>
  <si>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</si>
  <si>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</si>
  <si>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</si>
  <si>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</si>
  <si>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</si>
  <si>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</si>
  <si>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</si>
  <si>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</si>
  <si>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</si>
  <si>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</si>
  <si>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</si>
  <si>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</si>
  <si>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</si>
  <si>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</si>
  <si>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</si>
  <si>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</si>
  <si>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</si>
  <si>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</si>
  <si>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</si>
  <si>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</si>
  <si>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</si>
  <si>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</si>
  <si>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</si>
  <si>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</si>
  <si>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</si>
  <si>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</si>
  <si>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</si>
  <si>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</si>
  <si>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</si>
  <si>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</si>
  <si>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</si>
  <si>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</si>
  <si>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</si>
  <si>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</si>
  <si>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</si>
  <si>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</si>
  <si>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</si>
  <si>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</si>
  <si>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</si>
  <si>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</si>
  <si>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</si>
  <si>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</si>
  <si>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</si>
  <si>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</si>
  <si>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</si>
  <si>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</si>
  <si>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</si>
  <si>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</si>
  <si>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</si>
  <si>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</si>
  <si>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</si>
  <si>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</si>
  <si>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</si>
  <si>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</si>
  <si>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</si>
  <si>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</si>
  <si>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</si>
  <si>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</si>
  <si>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</si>
  <si>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</si>
  <si>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</si>
  <si>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</si>
  <si>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</si>
  <si>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</si>
  <si>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</si>
  <si>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</si>
  <si>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</si>
  <si>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</si>
  <si>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</si>
  <si>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</si>
  <si>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</si>
  <si>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</si>
  <si>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</si>
  <si>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</si>
  <si>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</si>
  <si>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</si>
  <si>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</si>
  <si>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</si>
  <si>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</si>
  <si>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</si>
  <si>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</si>
  <si>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</si>
  <si>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</si>
  <si>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</si>
  <si>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</si>
  <si>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</si>
  <si>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</si>
  <si>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</si>
  <si>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</si>
  <si>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</si>
  <si>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</si>
  <si>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</si>
  <si>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</si>
  <si>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</si>
  <si>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</si>
  <si>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</si>
  <si>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</si>
  <si>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</si>
  <si>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</si>
  <si>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</si>
  <si>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</si>
  <si>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</si>
  <si>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</si>
  <si>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</si>
  <si>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</si>
  <si>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</si>
  <si>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</si>
  <si>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</si>
  <si>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</si>
  <si>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</si>
  <si>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</si>
  <si>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</si>
  <si>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</si>
  <si>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</si>
  <si>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</si>
  <si>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</si>
  <si>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</si>
  <si>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</si>
  <si>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</si>
  <si>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</si>
  <si>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</si>
  <si>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</si>
  <si>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</si>
  <si>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</si>
  <si>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</si>
  <si>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</si>
  <si>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</si>
  <si>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</si>
  <si>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</si>
  <si>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</si>
  <si>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</si>
  <si>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</si>
  <si>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</si>
  <si>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</si>
  <si>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</si>
  <si>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</si>
  <si>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</si>
  <si>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</si>
  <si>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</si>
  <si>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</si>
  <si>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</si>
  <si>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</si>
  <si>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</si>
  <si>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</si>
  <si>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</si>
  <si>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</si>
  <si>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</si>
  <si>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</si>
  <si>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</si>
  <si>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</si>
  <si>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</si>
  <si>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</si>
  <si>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</si>
  <si>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</si>
  <si>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</si>
  <si>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</si>
  <si>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</si>
  <si>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</si>
  <si>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</si>
  <si>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</si>
  <si>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</si>
  <si>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</si>
  <si>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</si>
  <si>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</si>
  <si>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</si>
  <si>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</si>
  <si>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</si>
  <si>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</si>
  <si>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</si>
  <si>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</si>
  <si>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</si>
  <si>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</si>
  <si>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</si>
  <si>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</si>
  <si>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</si>
  <si>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</si>
  <si>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</si>
  <si>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</si>
  <si>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</si>
  <si>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</si>
  <si>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</si>
  <si>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</si>
  <si>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</si>
  <si>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</si>
  <si>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</si>
  <si>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</si>
  <si>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</si>
  <si>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</si>
  <si>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</si>
  <si>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</si>
  <si>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</si>
  <si>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</si>
  <si>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</si>
  <si>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</si>
  <si>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</si>
  <si>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</si>
  <si>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</si>
  <si>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</si>
  <si>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</si>
  <si>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</si>
  <si>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</si>
  <si>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</si>
  <si>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</si>
  <si>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</si>
  <si>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</si>
  <si>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</si>
  <si>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</si>
  <si>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</si>
  <si>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</si>
  <si>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</si>
  <si>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</si>
  <si>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</si>
  <si>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</si>
  <si>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</si>
  <si>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</si>
  <si>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</si>
  <si>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</si>
  <si>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</si>
  <si>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</si>
  <si>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</si>
  <si>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</si>
  <si>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</si>
  <si>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</si>
  <si>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</si>
  <si>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</si>
  <si>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</si>
  <si>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</si>
  <si>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</si>
  <si>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</si>
  <si>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</si>
  <si>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</si>
  <si>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</si>
  <si>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</si>
  <si>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</si>
  <si>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</si>
  <si>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</si>
  <si>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</si>
  <si>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</si>
  <si>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</si>
  <si>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</si>
  <si>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</si>
  <si>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</si>
  <si>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</si>
  <si>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</si>
  <si>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</si>
  <si>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</si>
  <si>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</si>
  <si>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</si>
  <si>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</si>
  <si>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</si>
  <si>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</si>
  <si>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</si>
  <si>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</si>
  <si>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</si>
  <si>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</si>
  <si>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</si>
  <si>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</si>
  <si>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</si>
  <si>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</si>
  <si>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</si>
  <si>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</si>
  <si>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</si>
  <si>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</si>
  <si>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</si>
  <si>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</si>
  <si>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</si>
  <si>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</si>
  <si>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</si>
  <si>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</si>
  <si>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</si>
  <si>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</si>
  <si>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</si>
  <si>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</si>
  <si>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</si>
  <si>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</si>
  <si>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</si>
  <si>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</si>
  <si>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</si>
  <si>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</si>
  <si>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</si>
  <si>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</si>
  <si>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</si>
  <si>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</si>
  <si>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</si>
  <si>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</si>
  <si>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</si>
  <si>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</si>
  <si>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</si>
  <si>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</si>
  <si>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</si>
  <si>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</si>
  <si>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</si>
  <si>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</si>
  <si>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</si>
  <si>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</si>
  <si>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</si>
  <si>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</si>
  <si>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</si>
  <si>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</si>
  <si>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</si>
  <si>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</si>
  <si>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</si>
  <si>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</si>
  <si>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</si>
  <si>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</si>
  <si>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</si>
  <si>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</si>
  <si>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</si>
  <si>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</si>
  <si>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</si>
  <si>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</si>
  <si>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</si>
  <si>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</si>
  <si>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</si>
  <si>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</si>
  <si>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</si>
  <si>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</si>
  <si>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</si>
  <si>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</si>
  <si>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</si>
  <si>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</si>
  <si>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</si>
  <si>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</si>
  <si>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</si>
  <si>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</si>
  <si>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</si>
  <si>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</si>
  <si>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</si>
  <si>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</si>
  <si>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</si>
  <si>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</si>
  <si>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</si>
  <si>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</si>
  <si>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</si>
  <si>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</si>
  <si>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</si>
  <si>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</si>
  <si>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</si>
  <si>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</si>
  <si>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</si>
  <si>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</si>
  <si>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</si>
  <si>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</si>
  <si>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</si>
  <si>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</si>
  <si>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</si>
  <si>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</si>
  <si>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</si>
  <si>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</si>
  <si>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</si>
  <si>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</si>
  <si>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</si>
  <si>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</si>
  <si>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</si>
  <si>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</si>
  <si>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</si>
  <si>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</si>
  <si>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</si>
  <si>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</si>
  <si>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</si>
  <si>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</si>
  <si>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</si>
  <si>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</si>
  <si>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</si>
  <si>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</si>
  <si>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</si>
  <si>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</si>
  <si>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</si>
  <si>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</si>
  <si>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</si>
  <si>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</si>
  <si>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</si>
  <si>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</si>
  <si>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</si>
  <si>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</si>
  <si>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</si>
  <si>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</si>
  <si>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</si>
  <si>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</si>
  <si>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</si>
  <si>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</si>
  <si>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</si>
  <si>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</si>
  <si>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</si>
  <si>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</si>
  <si>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</si>
  <si>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</si>
  <si>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</si>
  <si>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</si>
  <si>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</si>
  <si>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</si>
  <si>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</si>
  <si>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</si>
  <si>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</si>
  <si>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</si>
  <si>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</si>
  <si>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</si>
  <si>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</si>
  <si>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</si>
  <si>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</si>
  <si>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</si>
  <si>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</si>
  <si>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</si>
  <si>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</si>
  <si>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</si>
  <si>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</si>
  <si>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</si>
  <si>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</si>
  <si>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</si>
  <si>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</si>
  <si>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</si>
  <si>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</si>
  <si>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</si>
  <si>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</si>
  <si>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</si>
  <si>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</si>
  <si>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</si>
  <si>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</si>
  <si>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</si>
  <si>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</si>
  <si>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</si>
  <si>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</si>
  <si>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</si>
  <si>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</si>
  <si>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</si>
  <si>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</si>
  <si>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</si>
  <si>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</si>
  <si>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</si>
  <si>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</si>
  <si>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</si>
  <si>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</si>
  <si>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</si>
  <si>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</si>
  <si>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</si>
  <si>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</si>
  <si>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</si>
  <si>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</si>
  <si>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</si>
  <si>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</si>
  <si>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</si>
  <si>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</si>
  <si>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</si>
  <si>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</si>
  <si>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</si>
  <si>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</si>
  <si>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</si>
  <si>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</si>
  <si>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</si>
  <si>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</si>
  <si>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</si>
  <si>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</si>
  <si>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</si>
  <si>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</si>
  <si>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</si>
  <si>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</si>
  <si>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</si>
  <si>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</si>
  <si>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</si>
  <si>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</si>
  <si>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</si>
  <si>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</si>
  <si>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</si>
  <si>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</si>
  <si>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</si>
  <si>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</si>
  <si>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</si>
  <si>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</si>
  <si>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</si>
  <si>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</si>
  <si>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</si>
  <si>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</si>
  <si>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</si>
  <si>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</si>
  <si>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</si>
  <si>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</si>
  <si>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</si>
  <si>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</si>
  <si>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</si>
  <si>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</si>
  <si>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</si>
  <si>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</si>
  <si>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</si>
  <si>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</si>
  <si>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</si>
  <si>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</si>
  <si>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</si>
  <si>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</si>
  <si>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</si>
  <si>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</si>
  <si>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</si>
  <si>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</si>
  <si>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</si>
  <si>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</si>
  <si>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</si>
  <si>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</si>
  <si>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</si>
  <si>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</si>
  <si>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</si>
  <si>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</si>
  <si>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</si>
  <si>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</si>
  <si>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</si>
  <si>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</si>
  <si>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</si>
  <si>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</si>
  <si>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</si>
  <si>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</si>
  <si>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</si>
  <si>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</si>
  <si>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</si>
  <si>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</si>
  <si>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</si>
  <si>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</si>
  <si>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</si>
  <si>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</si>
  <si>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</si>
  <si>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</si>
  <si>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</si>
  <si>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</si>
  <si>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</si>
  <si>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</si>
  <si>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</si>
  <si>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</si>
  <si>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</si>
  <si>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</si>
  <si>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</si>
  <si>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</si>
  <si>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</si>
  <si>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</si>
  <si>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</si>
  <si>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</si>
  <si>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</si>
  <si>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</si>
  <si>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</si>
  <si>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</si>
  <si>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</si>
  <si>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</si>
  <si>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</si>
  <si>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</si>
  <si>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</si>
  <si>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</si>
  <si>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</si>
  <si>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</si>
  <si>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</si>
  <si>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</si>
  <si>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</si>
  <si>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</si>
  <si>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</si>
  <si>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</si>
  <si>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</si>
  <si>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</si>
  <si>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</si>
  <si>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</si>
  <si>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</si>
  <si>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</si>
  <si>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</si>
  <si>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</si>
  <si>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</si>
  <si>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</si>
  <si>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</si>
  <si>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</si>
  <si>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</si>
  <si>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</si>
  <si>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</si>
  <si>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</si>
  <si>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</si>
  <si>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</si>
  <si>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</si>
  <si>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</si>
  <si>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</si>
  <si>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</si>
  <si>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</si>
  <si>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</si>
  <si>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</si>
  <si>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</si>
  <si>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</si>
  <si>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</si>
  <si>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</si>
  <si>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</si>
  <si>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</si>
  <si>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</si>
  <si>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</si>
  <si>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</si>
  <si>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</si>
  <si>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</si>
  <si>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</si>
  <si>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</si>
  <si>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</si>
  <si>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</si>
  <si>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</si>
  <si>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</si>
  <si>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</si>
  <si>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</si>
  <si>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</si>
  <si>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</si>
  <si>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</si>
  <si>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</si>
  <si>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</si>
  <si>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</si>
  <si>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</si>
  <si>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</si>
  <si>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</si>
  <si>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</si>
  <si>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</si>
  <si>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</si>
  <si>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</si>
  <si>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</si>
  <si>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</si>
  <si>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</si>
  <si>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</si>
  <si>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</si>
  <si>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</si>
  <si>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</si>
  <si>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</si>
  <si>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</si>
  <si>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</si>
  <si>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</si>
  <si>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</si>
  <si>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</si>
  <si>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</si>
  <si>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</si>
  <si>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</si>
  <si>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</si>
  <si>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</si>
  <si>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</si>
  <si>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</si>
  <si>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</si>
  <si>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</si>
  <si>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</si>
  <si>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</si>
  <si>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</si>
  <si>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</si>
  <si>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</si>
  <si>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</si>
  <si>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</si>
  <si>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</si>
  <si>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</si>
  <si>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</si>
  <si>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</si>
  <si>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</si>
  <si>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</si>
  <si>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</si>
  <si>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</si>
  <si>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</si>
  <si>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</si>
  <si>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</si>
  <si>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</si>
  <si>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</si>
  <si>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</si>
  <si>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</si>
  <si>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</si>
  <si>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</si>
  <si>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</si>
  <si>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</si>
  <si>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</si>
  <si>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</si>
  <si>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</si>
  <si>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</si>
  <si>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</si>
  <si>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</si>
  <si>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</si>
  <si>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</si>
  <si>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</si>
  <si>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</si>
  <si>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</si>
  <si>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</si>
  <si>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</si>
  <si>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</si>
  <si>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</si>
  <si>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</si>
  <si>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</si>
  <si>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</si>
  <si>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</si>
  <si>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</si>
  <si>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</si>
  <si>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</si>
  <si>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</si>
  <si>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</si>
  <si>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</si>
  <si>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</si>
  <si>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</si>
  <si>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</si>
  <si>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</si>
  <si>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</si>
  <si>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</si>
  <si>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</si>
  <si>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</si>
  <si>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</si>
  <si>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</si>
  <si>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</si>
  <si>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</si>
  <si>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</si>
  <si>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</si>
  <si>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</si>
  <si>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</si>
  <si>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</si>
  <si>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</si>
  <si>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</si>
  <si>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</si>
  <si>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</si>
  <si>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</si>
  <si>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</si>
  <si>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</si>
  <si>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</si>
  <si>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</si>
  <si>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</si>
  <si>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</si>
  <si>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</si>
  <si>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</si>
  <si>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</si>
  <si>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</si>
  <si>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</si>
  <si>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</si>
  <si>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</si>
  <si>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</si>
  <si>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</si>
  <si>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</si>
  <si>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</si>
  <si>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</si>
  <si>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</si>
  <si>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</si>
  <si>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</si>
  <si>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</si>
  <si>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</si>
  <si>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</si>
  <si>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</si>
  <si>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</si>
  <si>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</si>
  <si>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</si>
  <si>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</si>
  <si>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</si>
  <si>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</si>
  <si>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</si>
  <si>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</si>
  <si>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</si>
  <si>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</si>
  <si>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</si>
  <si>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</si>
  <si>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</si>
  <si>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</si>
  <si>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</si>
  <si>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</si>
  <si>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</si>
  <si>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</si>
  <si>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</si>
  <si>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</si>
  <si>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</si>
  <si>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</si>
  <si>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</si>
  <si>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</si>
  <si>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</si>
  <si>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</si>
  <si>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</si>
  <si>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</si>
  <si>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</si>
  <si>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</si>
  <si>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</si>
  <si>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</si>
  <si>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</si>
  <si>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</si>
  <si>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</si>
  <si>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</si>
  <si>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</si>
  <si>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</si>
  <si>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</si>
  <si>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</si>
  <si>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</si>
  <si>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</si>
  <si>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</si>
  <si>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</si>
  <si>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</si>
  <si>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</si>
  <si>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</si>
  <si>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</si>
  <si>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</si>
  <si>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</si>
  <si>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</si>
  <si>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</si>
  <si>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</si>
  <si>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</si>
  <si>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</si>
  <si>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</si>
  <si>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</si>
  <si>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</si>
  <si>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</si>
  <si>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</si>
  <si>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</si>
  <si>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</si>
  <si>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</si>
  <si>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</si>
  <si>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</si>
  <si>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</si>
  <si>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</si>
  <si>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</si>
  <si>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</si>
  <si>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</si>
  <si>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</si>
  <si>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</si>
  <si>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</si>
  <si>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</si>
  <si>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</si>
  <si>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</si>
  <si>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</si>
  <si>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</si>
  <si>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</si>
  <si>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</si>
  <si>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</si>
  <si>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</si>
  <si>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</si>
  <si>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</si>
  <si>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</si>
  <si>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</si>
  <si>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</si>
  <si>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</si>
  <si>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</si>
  <si>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</si>
  <si>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</si>
  <si>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</si>
  <si>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</si>
  <si>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</si>
  <si>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</si>
  <si>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</si>
  <si>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</si>
  <si>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</si>
  <si>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</si>
  <si>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</si>
  <si>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</si>
  <si>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</si>
  <si>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</si>
  <si>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</si>
  <si>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</si>
  <si>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</si>
  <si>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</si>
  <si>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</si>
  <si>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</si>
  <si>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</si>
  <si>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</si>
  <si>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</si>
  <si>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</si>
  <si>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</si>
  <si>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</si>
  <si>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</si>
  <si>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</si>
  <si>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</si>
  <si>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</si>
  <si>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</si>
  <si>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</si>
  <si>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</si>
  <si>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</si>
  <si>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</si>
  <si>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</si>
  <si>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</si>
  <si>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</si>
  <si>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</si>
  <si>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</si>
  <si>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</si>
  <si>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</si>
  <si>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</si>
  <si>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</si>
  <si>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</si>
  <si>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</si>
  <si>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</si>
  <si>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</si>
  <si>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</si>
  <si>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</si>
  <si>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</si>
  <si>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</si>
  <si>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</si>
  <si>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</si>
  <si>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</si>
  <si>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</si>
  <si>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</si>
  <si>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</si>
  <si>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</si>
  <si>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</si>
  <si>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</si>
  <si>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</si>
  <si>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</si>
  <si>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</si>
  <si>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</si>
  <si>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</si>
  <si>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</si>
  <si>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</si>
  <si>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</si>
  <si>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</si>
  <si>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</si>
  <si>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</si>
  <si>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</si>
  <si>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</si>
  <si>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</si>
  <si>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</si>
  <si>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</si>
  <si>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</si>
  <si>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</si>
  <si>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</si>
  <si>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</si>
  <si>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</si>
  <si>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</si>
  <si>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</si>
  <si>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</si>
  <si>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</si>
  <si>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</si>
  <si>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</si>
  <si>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</si>
  <si>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</si>
  <si>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</si>
  <si>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</si>
  <si>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</si>
  <si>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</si>
  <si>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</si>
  <si>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</si>
  <si>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</si>
  <si>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</si>
  <si>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</si>
  <si>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</si>
  <si>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</si>
  <si>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</si>
  <si>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</si>
  <si>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</si>
  <si>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</si>
  <si>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</si>
  <si>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</si>
  <si>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</si>
  <si>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</si>
  <si>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</si>
  <si>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</si>
  <si>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</si>
  <si>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</si>
  <si>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</si>
  <si>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</si>
  <si>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</si>
  <si>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</si>
  <si>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</si>
  <si>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</si>
  <si>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</si>
  <si>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</si>
  <si>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</si>
  <si>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</si>
  <si>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</si>
  <si>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</si>
  <si>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</si>
  <si>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</si>
  <si>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</si>
  <si>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</si>
  <si>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</si>
  <si>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</si>
  <si>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</si>
  <si>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</si>
  <si>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</si>
  <si>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</si>
  <si>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</si>
  <si>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</si>
  <si>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</si>
  <si>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</si>
  <si>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</si>
  <si>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</si>
  <si>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</si>
  <si>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</si>
  <si>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</si>
  <si>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</si>
  <si>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</si>
  <si>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</si>
  <si>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</si>
  <si>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</si>
  <si>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</si>
  <si>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</si>
  <si>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</si>
  <si>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</si>
  <si>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</si>
  <si>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</si>
  <si>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</si>
  <si>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</si>
  <si>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</si>
  <si>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</si>
  <si>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</si>
  <si>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</si>
  <si>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</si>
  <si>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</si>
  <si>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</si>
  <si>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</si>
  <si>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</si>
  <si>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</si>
  <si>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</si>
  <si>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</si>
  <si>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</si>
  <si>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</si>
  <si>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</si>
  <si>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</si>
  <si>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</si>
  <si>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</si>
  <si>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</si>
  <si>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</si>
  <si>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</si>
  <si>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</si>
  <si>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</si>
  <si>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</si>
  <si>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</si>
  <si>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</si>
  <si>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</si>
  <si>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</si>
  <si>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</si>
  <si>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</si>
  <si>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</si>
  <si>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</si>
  <si>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</si>
  <si>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</si>
  <si>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</si>
  <si>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</si>
  <si>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</si>
  <si>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</si>
  <si>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</si>
  <si>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</si>
  <si>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</si>
  <si>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</si>
  <si>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</si>
  <si>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</si>
  <si>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</si>
  <si>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</si>
  <si>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</si>
  <si>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</si>
  <si>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</si>
  <si>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</si>
  <si>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</si>
  <si>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</si>
  <si>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</si>
  <si>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</si>
  <si>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</si>
  <si>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</si>
  <si>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</si>
  <si>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</si>
  <si>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</si>
  <si>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</si>
  <si>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</si>
  <si>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</si>
  <si>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</si>
  <si>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</si>
  <si>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</si>
  <si>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</si>
  <si>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</si>
  <si>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</si>
  <si>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</si>
  <si>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</si>
  <si>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</si>
  <si>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</si>
  <si>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</si>
  <si>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</si>
  <si>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</si>
  <si>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</si>
  <si>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</si>
  <si>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</si>
  <si>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</si>
  <si>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</si>
  <si>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</si>
  <si>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</si>
  <si>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</si>
  <si>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</si>
  <si>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</si>
  <si>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</si>
  <si>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</si>
  <si>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</si>
  <si>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</si>
  <si>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</si>
  <si>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</si>
  <si>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</si>
  <si>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</si>
  <si>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</si>
  <si>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</si>
  <si>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</si>
  <si>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</si>
  <si>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</si>
  <si>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</si>
  <si>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</si>
  <si>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</si>
  <si>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</si>
  <si>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</si>
  <si>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</si>
  <si>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</si>
  <si>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</si>
  <si>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</si>
  <si>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</si>
  <si>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</si>
  <si>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</si>
  <si>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</si>
  <si>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</si>
  <si>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</si>
  <si>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</si>
  <si>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</si>
  <si>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</si>
  <si>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</si>
  <si>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</si>
  <si>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</si>
  <si>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</si>
  <si>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</si>
  <si>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</si>
  <si>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</si>
  <si>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</si>
  <si>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</si>
  <si>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</si>
  <si>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</si>
  <si>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</si>
  <si>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</si>
  <si>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</si>
  <si>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</si>
  <si>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</si>
  <si>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</si>
  <si>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</si>
  <si>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</si>
  <si>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</si>
  <si>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</si>
  <si>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</si>
  <si>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</si>
  <si>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</si>
  <si>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</si>
  <si>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</si>
  <si>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</si>
  <si>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</si>
  <si>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</si>
  <si>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</si>
  <si>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</si>
  <si>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</si>
  <si>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</si>
  <si>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</si>
  <si>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</si>
  <si>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</si>
  <si>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</si>
  <si>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</si>
  <si>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</si>
  <si>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</si>
  <si>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</si>
  <si>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</si>
  <si>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</si>
  <si>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</si>
  <si>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</si>
  <si>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</si>
  <si>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</si>
  <si>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</si>
  <si>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</si>
  <si>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</si>
  <si>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</si>
  <si>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</si>
  <si>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</si>
  <si>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</si>
  <si>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</si>
  <si>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</si>
  <si>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</si>
  <si>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</si>
  <si>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</si>
  <si>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</si>
  <si>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</si>
  <si>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</si>
  <si>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</si>
  <si>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</si>
  <si>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</si>
  <si>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</si>
  <si>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</si>
  <si>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</si>
  <si>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</si>
  <si>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</si>
  <si>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</si>
  <si>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</si>
  <si>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</si>
  <si>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</si>
  <si>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</si>
  <si>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</si>
  <si>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</si>
  <si>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</si>
  <si>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</si>
  <si>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</si>
  <si>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</si>
  <si>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</si>
  <si>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</si>
  <si>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</si>
  <si>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</si>
  <si>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</si>
  <si>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</si>
  <si>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</si>
  <si>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</si>
  <si>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</si>
  <si>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</si>
  <si>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</si>
  <si>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</si>
  <si>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</si>
  <si>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</si>
  <si>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</si>
  <si>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</si>
  <si>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</si>
  <si>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</si>
  <si>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</si>
  <si>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</si>
  <si>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</si>
  <si>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</si>
  <si>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</si>
  <si>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</si>
  <si>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</si>
  <si>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</si>
  <si>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</si>
  <si>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</si>
  <si>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</si>
  <si>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</si>
  <si>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</si>
  <si>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</si>
  <si>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</si>
  <si>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</si>
  <si>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</si>
  <si>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</si>
  <si>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</si>
  <si>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</si>
  <si>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</si>
  <si>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</si>
  <si>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</si>
  <si>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</si>
  <si>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</si>
  <si>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</si>
  <si>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</si>
  <si>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</si>
  <si>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</si>
  <si>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</si>
  <si>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</si>
  <si>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</si>
  <si>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</si>
  <si>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</si>
  <si>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</si>
  <si>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</si>
  <si>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</si>
  <si>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</si>
  <si>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</si>
  <si>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</si>
  <si>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</si>
  <si>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</si>
  <si>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</si>
  <si>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</si>
  <si>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</si>
  <si>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</si>
  <si>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</si>
  <si>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</si>
  <si>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</si>
  <si>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</si>
  <si>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</si>
  <si>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</si>
  <si>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</si>
  <si>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</si>
  <si>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</si>
  <si>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</si>
  <si>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</si>
  <si>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</si>
  <si>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</si>
  <si>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</si>
  <si>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</si>
  <si>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</si>
  <si>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</si>
  <si>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</si>
  <si>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</si>
  <si>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</si>
  <si>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</si>
  <si>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</si>
  <si>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</si>
  <si>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</si>
  <si>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</si>
  <si>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</si>
  <si>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</si>
  <si>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</si>
  <si>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</si>
  <si>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</si>
  <si>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</si>
  <si>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</si>
  <si>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</si>
  <si>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</si>
  <si>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</si>
  <si>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</si>
  <si>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</si>
  <si>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</si>
  <si>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</si>
  <si>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</si>
  <si>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</si>
  <si>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</si>
  <si>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</si>
  <si>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</si>
  <si>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</si>
  <si>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</si>
  <si>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</si>
  <si>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</si>
  <si>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</si>
  <si>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</si>
  <si>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</si>
  <si>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</si>
  <si>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</si>
  <si>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</si>
  <si>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</si>
  <si>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</si>
  <si>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</si>
  <si>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</si>
  <si>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</si>
  <si>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</si>
  <si>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</si>
  <si>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</si>
  <si>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</si>
  <si>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</si>
  <si>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</si>
  <si>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</si>
  <si>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</si>
  <si>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</si>
  <si>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</si>
  <si>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</si>
  <si>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</si>
  <si>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</si>
  <si>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</si>
  <si>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</si>
  <si>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</si>
  <si>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</si>
  <si>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</si>
  <si>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</si>
  <si>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</si>
  <si>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</si>
  <si>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</si>
  <si>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</si>
  <si>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</si>
  <si>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</si>
  <si>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</si>
  <si>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</si>
  <si>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</si>
  <si>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</si>
  <si>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</si>
  <si>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</si>
  <si>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</si>
  <si>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</si>
  <si>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</si>
  <si>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</si>
  <si>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</si>
  <si>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</si>
  <si>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</si>
  <si>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</si>
  <si>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</si>
  <si>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</si>
  <si>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</si>
  <si>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</si>
  <si>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</si>
  <si>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</si>
  <si>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</si>
  <si>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</si>
  <si>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</si>
  <si>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</si>
  <si>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</si>
  <si>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</si>
  <si>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</si>
  <si>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</si>
  <si>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</si>
  <si>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</si>
  <si>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</si>
  <si>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</si>
  <si>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</si>
  <si>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</si>
  <si>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</si>
  <si>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</si>
  <si>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</si>
  <si>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</si>
  <si>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</si>
  <si>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</si>
  <si>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</si>
  <si>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</si>
  <si>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</si>
  <si>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</si>
  <si>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</si>
  <si>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</si>
  <si>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</si>
  <si>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</si>
  <si>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</si>
  <si>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</si>
  <si>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</si>
  <si>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</si>
  <si>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</si>
  <si>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</si>
  <si>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</si>
  <si>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</si>
  <si>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</si>
  <si>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</si>
  <si>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</si>
  <si>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</si>
  <si>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</si>
  <si>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</si>
  <si>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</si>
  <si>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</si>
  <si>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</si>
  <si>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</si>
  <si>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</si>
  <si>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</si>
  <si>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</si>
  <si>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</si>
  <si>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</si>
  <si>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</si>
  <si>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</si>
  <si>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</si>
  <si>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</si>
  <si>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</si>
  <si>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</si>
  <si>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</si>
  <si>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</si>
  <si>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</si>
  <si>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</si>
  <si>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</si>
  <si>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</si>
  <si>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</si>
  <si>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</si>
  <si>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</si>
  <si>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</si>
  <si>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</si>
  <si>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</si>
  <si>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</si>
  <si>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</si>
  <si>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</si>
  <si>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</si>
  <si>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</si>
  <si>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</si>
  <si>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</si>
  <si>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</si>
  <si>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</si>
  <si>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</si>
  <si>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</si>
  <si>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</si>
  <si>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</si>
  <si>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</si>
  <si>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</si>
  <si>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</si>
  <si>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</si>
  <si>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</si>
  <si>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</si>
  <si>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</si>
  <si>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</si>
  <si>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</si>
  <si>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</si>
  <si>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</si>
  <si>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</si>
  <si>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</si>
  <si>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</si>
  <si>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</si>
  <si>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</si>
  <si>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</si>
  <si>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</si>
  <si>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</si>
  <si>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</si>
  <si>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</si>
  <si>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</si>
  <si>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</si>
  <si>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</si>
  <si>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</si>
  <si>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</si>
  <si>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</si>
  <si>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</si>
  <si>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</si>
  <si>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</si>
  <si>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</si>
  <si>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</si>
  <si>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</si>
  <si>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</si>
  <si>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</si>
  <si>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</si>
  <si>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</si>
  <si>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</si>
  <si>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</si>
  <si>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</si>
  <si>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</si>
  <si>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</si>
  <si>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</si>
  <si>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</si>
  <si>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</si>
  <si>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</si>
  <si>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</si>
  <si>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</si>
  <si>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</si>
  <si>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</si>
  <si>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</si>
  <si>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</si>
  <si>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</si>
  <si>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</si>
  <si>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</si>
  <si>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</si>
  <si>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</si>
  <si>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</si>
  <si>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</si>
  <si>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</si>
  <si>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</si>
  <si>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</si>
  <si>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</si>
  <si>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</si>
  <si>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</si>
  <si>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</si>
  <si>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</si>
  <si>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</si>
  <si>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</si>
  <si>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</si>
  <si>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</si>
  <si>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</si>
  <si>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</si>
  <si>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</si>
  <si>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</si>
  <si>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</si>
  <si>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</si>
  <si>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</si>
  <si>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</si>
  <si>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</si>
  <si>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</si>
  <si>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</si>
  <si>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</si>
  <si>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</si>
  <si>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</si>
  <si>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</si>
  <si>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</si>
  <si>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</si>
  <si>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</si>
  <si>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</si>
  <si>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</si>
  <si>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</si>
  <si>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</si>
  <si>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</si>
  <si>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</si>
  <si>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</si>
  <si>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</si>
  <si>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</si>
  <si>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</si>
  <si>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</si>
  <si>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</si>
  <si>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</si>
  <si>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</si>
  <si>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</si>
  <si>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</si>
  <si>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</si>
  <si>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</si>
  <si>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</si>
  <si>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</si>
  <si>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</si>
  <si>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</si>
  <si>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</si>
  <si>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</si>
  <si>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</si>
  <si>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</si>
  <si>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</si>
  <si>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</si>
  <si>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</si>
  <si>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</si>
  <si>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</si>
  <si>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</si>
  <si>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</si>
  <si>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</si>
  <si>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</si>
  <si>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</si>
  <si>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</si>
  <si>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</si>
  <si>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</si>
  <si>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</si>
  <si>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</si>
  <si>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</si>
  <si>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</si>
  <si>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</si>
  <si>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</si>
  <si>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</si>
  <si>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</si>
  <si>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</si>
  <si>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</si>
  <si>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</si>
  <si>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</si>
  <si>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</si>
  <si>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</si>
  <si>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</si>
  <si>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</si>
  <si>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</si>
  <si>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</si>
  <si>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</si>
  <si>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</si>
  <si>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</si>
  <si>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</si>
  <si>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</si>
  <si>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</si>
  <si>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</si>
  <si>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</si>
  <si>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</si>
  <si>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</si>
  <si>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</si>
  <si>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</si>
  <si>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</si>
  <si>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</si>
  <si>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</si>
  <si>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</si>
  <si>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</si>
  <si>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</si>
  <si>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</si>
  <si>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</si>
  <si>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</si>
  <si>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</si>
  <si>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</si>
  <si>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</si>
  <si>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</si>
  <si>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</si>
  <si>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</si>
  <si>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</si>
  <si>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</si>
  <si>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</si>
  <si>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</si>
  <si>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</si>
  <si>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</si>
  <si>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</si>
  <si>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</si>
  <si>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</si>
  <si>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</si>
  <si>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</si>
  <si>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</si>
  <si>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</si>
  <si>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</si>
  <si>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</si>
  <si>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</si>
  <si>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</si>
  <si>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</si>
  <si>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</si>
  <si>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</si>
  <si>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</si>
  <si>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</si>
  <si>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</si>
  <si>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</si>
  <si>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</si>
  <si>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</si>
  <si>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</si>
  <si>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</si>
  <si>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</si>
  <si>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</si>
  <si>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</si>
  <si>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</si>
  <si>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</si>
  <si>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</si>
  <si>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</si>
  <si>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</si>
  <si>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</si>
  <si>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</si>
  <si>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</si>
  <si>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</si>
  <si>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</si>
  <si>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</si>
  <si>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</si>
  <si>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</si>
  <si>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</si>
  <si>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</si>
  <si>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</si>
  <si>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</si>
  <si>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</si>
  <si>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</si>
  <si>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</si>
  <si>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</si>
  <si>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</si>
  <si>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</si>
  <si>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</si>
  <si>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</si>
  <si>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</si>
  <si>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</si>
  <si>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</si>
  <si>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</si>
  <si>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</si>
  <si>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</si>
  <si>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</si>
  <si>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</si>
  <si>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</si>
  <si>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</si>
  <si>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</si>
  <si>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</si>
  <si>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</si>
  <si>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</si>
  <si>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</si>
  <si>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</si>
  <si>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</si>
  <si>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</si>
  <si>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</si>
  <si>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</si>
  <si>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</si>
  <si>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</si>
  <si>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</si>
  <si>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</si>
  <si>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</si>
  <si>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</si>
  <si>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</si>
  <si>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</si>
  <si>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</si>
  <si>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</si>
  <si>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</si>
  <si>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</si>
  <si>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</si>
  <si>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</si>
  <si>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</si>
  <si>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</si>
  <si>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</si>
  <si>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</si>
  <si>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</si>
  <si>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</si>
  <si>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</si>
  <si>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</si>
  <si>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</si>
  <si>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</si>
  <si>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</si>
  <si>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</si>
  <si>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</si>
  <si>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</si>
  <si>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</si>
  <si>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</si>
  <si>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</si>
  <si>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</si>
  <si>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</si>
  <si>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</si>
  <si>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</si>
  <si>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</si>
  <si>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</si>
  <si>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</si>
  <si>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</si>
  <si>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</si>
  <si>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</si>
  <si>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</si>
  <si>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</si>
  <si>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</si>
  <si>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</si>
  <si>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</si>
  <si>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</si>
  <si>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</si>
  <si>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</si>
  <si>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</si>
  <si>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</si>
  <si>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</si>
  <si>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</si>
  <si>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</si>
  <si>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</si>
  <si>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</si>
  <si>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</si>
  <si>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</si>
  <si>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</si>
  <si>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</si>
  <si>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</si>
  <si>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</si>
  <si>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</si>
  <si>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</si>
  <si>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</si>
  <si>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</si>
  <si>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</si>
  <si>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</si>
  <si>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</si>
  <si>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</si>
  <si>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</si>
  <si>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</si>
  <si>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</si>
  <si>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</si>
  <si>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</si>
  <si>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</si>
  <si>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</si>
  <si>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</si>
  <si>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</si>
  <si>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</si>
  <si>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</si>
  <si>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</si>
  <si>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</si>
  <si>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</si>
  <si>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</si>
  <si>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</si>
  <si>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</si>
  <si>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</si>
  <si>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</si>
  <si>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</si>
  <si>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</si>
  <si>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</si>
  <si>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</si>
  <si>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</si>
  <si>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</si>
  <si>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</si>
  <si>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</si>
  <si>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</si>
  <si>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</si>
  <si>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</si>
  <si>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</si>
  <si>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</si>
  <si>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</si>
  <si>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</si>
  <si>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</si>
  <si>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</si>
  <si>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</si>
  <si>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</si>
  <si>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</si>
  <si>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</si>
  <si>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</si>
  <si>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</si>
  <si>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</si>
  <si>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</si>
  <si>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</si>
  <si>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</si>
  <si>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</si>
  <si>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</si>
  <si>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</si>
  <si>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</si>
  <si>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</si>
  <si>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</si>
  <si>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</si>
  <si>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</si>
  <si>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</si>
  <si>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</si>
  <si>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</si>
  <si>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</si>
  <si>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</si>
  <si>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</si>
  <si>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</si>
  <si>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</si>
  <si>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</si>
  <si>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</si>
  <si>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</si>
  <si>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</si>
  <si>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</si>
  <si>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</si>
  <si>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</si>
  <si>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</si>
  <si>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</si>
  <si>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</si>
  <si>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</si>
  <si>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</si>
  <si>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</si>
  <si>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</si>
  <si>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</si>
  <si>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</si>
  <si>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</si>
  <si>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</si>
  <si>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</si>
  <si>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</si>
  <si>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</si>
  <si>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</si>
  <si>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</si>
  <si>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</si>
  <si>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</si>
  <si>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</si>
  <si>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</si>
  <si>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</si>
  <si>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</si>
  <si>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</si>
  <si>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</si>
  <si>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</si>
  <si>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</si>
  <si>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</si>
  <si>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</si>
  <si>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</si>
  <si>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</si>
  <si>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</si>
  <si>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</si>
  <si>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</si>
  <si>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</si>
  <si>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</si>
  <si>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</si>
  <si>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</si>
  <si>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</si>
  <si>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</si>
  <si>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</si>
  <si>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</si>
  <si>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</si>
  <si>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</si>
  <si>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</si>
  <si>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</si>
  <si>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</si>
  <si>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</si>
  <si>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</si>
  <si>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</si>
  <si>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</si>
  <si>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</si>
  <si>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</si>
  <si>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</si>
  <si>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</si>
  <si>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</si>
  <si>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</si>
  <si>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</si>
  <si>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</si>
  <si>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</si>
  <si>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</si>
  <si>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</si>
  <si>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</si>
  <si>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</si>
  <si>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</si>
  <si>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</si>
  <si>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</si>
  <si>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</si>
  <si>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</si>
  <si>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</si>
  <si>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</si>
  <si>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</si>
  <si>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</si>
  <si>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</si>
  <si>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</si>
  <si>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</si>
  <si>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</si>
  <si>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</si>
  <si>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</si>
  <si>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</si>
  <si>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</si>
  <si>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</si>
  <si>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</si>
  <si>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</si>
  <si>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</si>
  <si>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</si>
  <si>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</si>
  <si>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</si>
  <si>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</si>
  <si>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</si>
  <si>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</si>
  <si>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</si>
  <si>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</si>
  <si>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</si>
  <si>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</si>
  <si>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</si>
  <si>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</si>
  <si>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</si>
  <si>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</si>
  <si>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</si>
  <si>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</si>
  <si>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</si>
  <si>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</si>
  <si>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</si>
  <si>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</si>
  <si>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</si>
  <si>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</si>
  <si>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</si>
  <si>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</si>
  <si>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</si>
  <si>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</si>
  <si>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</si>
  <si>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</si>
  <si>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</si>
  <si>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</si>
  <si>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</si>
  <si>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</si>
  <si>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</si>
  <si>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</si>
  <si>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</si>
  <si>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</si>
  <si>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</si>
  <si>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</si>
  <si>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</si>
  <si>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</si>
  <si>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</si>
  <si>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</si>
  <si>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</si>
  <si>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</si>
  <si>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</si>
  <si>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</si>
  <si>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</si>
  <si>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</si>
  <si>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</si>
  <si>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</si>
  <si>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</si>
  <si>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</si>
  <si>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</si>
  <si>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</si>
  <si>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</si>
  <si>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</si>
  <si>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</si>
  <si>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</si>
  <si>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</si>
  <si>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</si>
  <si>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</si>
  <si>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</si>
  <si>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</si>
  <si>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</si>
  <si>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</si>
  <si>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</si>
  <si>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</si>
  <si>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</si>
  <si>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</si>
  <si>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</si>
  <si>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</si>
  <si>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</si>
  <si>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</si>
  <si>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</si>
  <si>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</si>
  <si>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</si>
  <si>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</si>
  <si>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</si>
  <si>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</si>
  <si>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</si>
  <si>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</si>
  <si>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</si>
  <si>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</si>
  <si>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</si>
  <si>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</si>
  <si>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</si>
  <si>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</si>
  <si>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</si>
  <si>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</si>
  <si>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</si>
  <si>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</si>
  <si>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</si>
  <si>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</si>
  <si>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</si>
  <si>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</si>
  <si>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</si>
  <si>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</si>
  <si>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</si>
  <si>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</si>
  <si>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</si>
  <si>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</si>
  <si>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</si>
  <si>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</si>
  <si>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</si>
  <si>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</si>
  <si>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</si>
  <si>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</si>
  <si>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</si>
  <si>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</si>
  <si>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</si>
  <si>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</si>
  <si>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</si>
  <si>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</si>
  <si>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</si>
  <si>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</si>
  <si>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</si>
  <si>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</si>
  <si>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</si>
  <si>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</si>
  <si>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</si>
  <si>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</si>
  <si>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</si>
  <si>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</si>
  <si>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</si>
  <si>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</si>
  <si>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</si>
  <si>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</si>
  <si>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</si>
  <si>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</si>
  <si>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</si>
  <si>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</si>
  <si>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</si>
  <si>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</si>
  <si>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</si>
  <si>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</si>
  <si>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</si>
  <si>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</si>
  <si>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</si>
  <si>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</si>
  <si>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</si>
  <si>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</si>
  <si>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</si>
  <si>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</si>
  <si>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</si>
  <si>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</si>
  <si>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</si>
  <si>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</si>
  <si>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</si>
  <si>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</si>
  <si>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</si>
  <si>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</si>
  <si>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</si>
  <si>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</si>
  <si>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</si>
  <si>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</si>
  <si>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</si>
  <si>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</si>
  <si>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</si>
  <si>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</si>
  <si>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</si>
  <si>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</si>
  <si>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</si>
  <si>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</si>
  <si>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</si>
  <si>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</si>
  <si>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</si>
  <si>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</si>
  <si>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</si>
  <si>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</si>
  <si>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</si>
  <si>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</si>
  <si>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</si>
  <si>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</si>
  <si>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</si>
  <si>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</si>
  <si>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</si>
  <si>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</si>
  <si>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</si>
  <si>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</si>
  <si>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</si>
  <si>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</si>
  <si>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</si>
  <si>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</si>
  <si>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</si>
  <si>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</si>
  <si>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</si>
  <si>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</si>
  <si>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</si>
  <si>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</si>
  <si>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</si>
  <si>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</si>
  <si>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</si>
  <si>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</si>
  <si>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</si>
  <si>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</si>
  <si>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</si>
  <si>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</si>
  <si>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</si>
  <si>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</si>
  <si>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</si>
  <si>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</si>
  <si>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</si>
  <si>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</si>
  <si>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</si>
  <si>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</si>
  <si>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</si>
  <si>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</si>
  <si>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</si>
  <si>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</si>
  <si>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</si>
  <si>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</si>
  <si>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</si>
  <si>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</si>
  <si>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</si>
  <si>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</si>
  <si>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</si>
  <si>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</si>
  <si>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</si>
  <si>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</si>
  <si>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</si>
  <si>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</si>
  <si>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</si>
  <si>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</si>
  <si>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</si>
  <si>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</si>
  <si>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</si>
  <si>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</si>
  <si>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</si>
  <si>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</si>
  <si>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</si>
  <si>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</si>
  <si>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</si>
  <si>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</si>
  <si>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</si>
  <si>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</si>
  <si>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</si>
  <si>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</si>
  <si>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</si>
  <si>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</si>
  <si>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</si>
  <si>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</si>
  <si>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</si>
  <si>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</si>
  <si>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</si>
  <si>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</si>
  <si>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</si>
  <si>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</si>
  <si>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</si>
  <si>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</si>
  <si>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</si>
  <si>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</si>
  <si>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</si>
  <si>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</si>
  <si>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</si>
  <si>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</si>
  <si>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</si>
  <si>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</si>
  <si>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</si>
  <si>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</si>
  <si>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</si>
  <si>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</si>
  <si>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</si>
  <si>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</si>
  <si>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</si>
  <si>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</si>
  <si>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</si>
  <si>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</si>
  <si>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</si>
  <si>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</si>
  <si>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</si>
  <si>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</si>
  <si>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</si>
  <si>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</si>
  <si>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</si>
  <si>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</si>
  <si>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</si>
  <si>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</si>
  <si>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</si>
  <si>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</si>
  <si>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</si>
  <si>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</si>
  <si>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</si>
  <si>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</si>
  <si>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</si>
  <si>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</si>
  <si>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</si>
  <si>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</si>
  <si>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</si>
  <si>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</si>
  <si>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</si>
  <si>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</si>
  <si>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</si>
  <si>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</si>
  <si>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</si>
  <si>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</si>
  <si>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</si>
  <si>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</si>
  <si>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</si>
  <si>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</si>
  <si>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</si>
  <si>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</si>
  <si>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</si>
  <si>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</si>
  <si>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</si>
  <si>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</si>
  <si>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</si>
  <si>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</si>
  <si>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</si>
  <si>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</si>
  <si>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</si>
  <si>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</si>
  <si>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</si>
  <si>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</si>
  <si>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</si>
  <si>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</si>
  <si>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</si>
  <si>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</si>
  <si>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</si>
  <si>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</si>
  <si>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</si>
  <si>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</si>
  <si>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</si>
  <si>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</si>
  <si>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</si>
  <si>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</si>
  <si>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</si>
  <si>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</si>
  <si>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</si>
  <si>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</si>
  <si>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</si>
  <si>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</si>
  <si>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</si>
  <si>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</si>
  <si>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</si>
  <si>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</si>
  <si>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</si>
  <si>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</si>
  <si>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</si>
  <si>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</si>
  <si>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</si>
  <si>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</si>
  <si>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</si>
  <si>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</si>
  <si>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</si>
  <si>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</si>
  <si>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</si>
  <si>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</si>
  <si>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</si>
  <si>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</si>
  <si>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</si>
  <si>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</si>
  <si>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</si>
  <si>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</si>
  <si>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</si>
  <si>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</si>
  <si>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</si>
  <si>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</si>
  <si>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</si>
  <si>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</si>
  <si>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</si>
  <si>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</si>
  <si>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</si>
  <si>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</si>
  <si>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</si>
  <si>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</si>
  <si>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</si>
  <si>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</si>
  <si>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</si>
  <si>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</si>
  <si>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</si>
  <si>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</si>
  <si>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</si>
  <si>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</si>
  <si>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</si>
  <si>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</si>
  <si>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</si>
  <si>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</si>
  <si>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</si>
  <si>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</si>
  <si>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</si>
  <si>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</si>
  <si>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</si>
  <si>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</si>
  <si>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</si>
  <si>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</si>
  <si>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</si>
  <si>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</si>
  <si>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</si>
  <si>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</si>
  <si>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</si>
  <si>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</si>
  <si>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</si>
  <si>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</si>
  <si>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</si>
  <si>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</si>
  <si>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</si>
  <si>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</si>
  <si>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</si>
  <si>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</si>
  <si>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</si>
  <si>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</si>
  <si>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</si>
  <si>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</si>
  <si>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</si>
  <si>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</si>
  <si>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</si>
  <si>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</si>
  <si>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</si>
  <si>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</si>
  <si>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</si>
  <si>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</si>
  <si>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</si>
  <si>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</si>
  <si>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</si>
  <si>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</si>
  <si>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</si>
  <si>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</si>
  <si>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</si>
  <si>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</si>
  <si>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</si>
  <si>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</si>
  <si>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</si>
  <si>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</si>
  <si>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</si>
  <si>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</si>
  <si>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</si>
  <si>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</si>
  <si>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</si>
  <si>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</si>
  <si>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</si>
  <si>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</si>
  <si>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</si>
  <si>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</si>
  <si>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</si>
  <si>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</si>
  <si>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</si>
  <si>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</si>
  <si>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</si>
  <si>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</si>
  <si>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</si>
  <si>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</si>
  <si>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</si>
  <si>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</si>
  <si>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</si>
  <si>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</si>
  <si>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</si>
  <si>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</si>
  <si>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</si>
  <si>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</si>
  <si>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</si>
  <si>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</si>
  <si>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</si>
  <si>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</si>
  <si>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</si>
  <si>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</si>
  <si>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</si>
  <si>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</si>
  <si>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</si>
  <si>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</si>
  <si>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</si>
  <si>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</si>
  <si>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</si>
  <si>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</si>
  <si>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</si>
  <si>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</si>
  <si>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</si>
  <si>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</si>
  <si>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</si>
  <si>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</si>
  <si>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</si>
  <si>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</si>
  <si>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</si>
  <si>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</si>
  <si>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</si>
  <si>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</si>
  <si>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</si>
  <si>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</si>
  <si>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</si>
  <si>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</si>
  <si>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</si>
  <si>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</si>
  <si>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</si>
  <si>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</si>
  <si>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</si>
  <si>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</si>
  <si>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</si>
  <si>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</si>
  <si>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</si>
  <si>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</si>
  <si>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</si>
  <si>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</si>
  <si>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</si>
  <si>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</si>
  <si>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</si>
  <si>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</si>
  <si>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</si>
  <si>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</si>
  <si>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</si>
  <si>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</si>
  <si>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</si>
  <si>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</si>
  <si>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</si>
  <si>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</si>
  <si>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</si>
  <si>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</si>
  <si>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</si>
  <si>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</si>
  <si>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</si>
  <si>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</si>
  <si>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</si>
  <si>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</si>
  <si>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</si>
  <si>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</si>
  <si>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</si>
  <si>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</si>
  <si>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</si>
  <si>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</si>
  <si>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</si>
  <si>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</si>
  <si>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</si>
  <si>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</si>
  <si>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</si>
  <si>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</si>
  <si>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</si>
  <si>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</si>
  <si>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</si>
  <si>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</si>
  <si>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</si>
  <si>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</si>
  <si>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</si>
  <si>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</si>
  <si>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</si>
  <si>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</si>
  <si>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</si>
  <si>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</si>
  <si>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</si>
  <si>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</si>
  <si>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</si>
  <si>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</si>
  <si>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</si>
  <si>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</si>
  <si>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</si>
  <si>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</si>
  <si>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</si>
  <si>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</si>
  <si>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</si>
  <si>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</si>
  <si>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</si>
  <si>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</si>
  <si>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</si>
  <si>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</si>
  <si>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</si>
  <si>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</si>
  <si>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</si>
  <si>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</si>
  <si>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</si>
  <si>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</si>
  <si>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</si>
  <si>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</si>
  <si>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</si>
  <si>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</si>
  <si>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</si>
  <si>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</si>
  <si>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</si>
  <si>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</si>
  <si>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</si>
  <si>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</si>
  <si>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</si>
  <si>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</si>
  <si>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</si>
  <si>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</si>
  <si>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</si>
  <si>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</si>
  <si>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</si>
  <si>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</si>
  <si>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</si>
  <si>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</si>
  <si>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</si>
  <si>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</si>
  <si>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</si>
  <si>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</si>
  <si>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</si>
  <si>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</si>
  <si>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</si>
  <si>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</si>
  <si>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</si>
  <si>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</si>
  <si>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</si>
  <si>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</si>
  <si>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</si>
  <si>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</si>
  <si>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</si>
  <si>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</si>
  <si>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</si>
  <si>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</si>
  <si>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</si>
  <si>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</si>
  <si>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</si>
  <si>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</si>
  <si>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</si>
  <si>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</si>
  <si>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</si>
  <si>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</si>
  <si>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</si>
  <si>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</si>
  <si>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</si>
  <si>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</si>
  <si>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</si>
  <si>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</si>
  <si>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</si>
  <si>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</si>
  <si>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</si>
  <si>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</si>
  <si>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</si>
  <si>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</si>
  <si>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</si>
  <si>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</si>
  <si>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</si>
  <si>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</si>
  <si>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</si>
  <si>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</si>
  <si>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</si>
  <si>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</si>
  <si>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</si>
  <si>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</si>
  <si>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</si>
  <si>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</si>
  <si>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</si>
  <si>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</si>
  <si>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</si>
  <si>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</si>
  <si>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</si>
  <si>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</si>
  <si>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</si>
  <si>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</si>
  <si>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</si>
  <si>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</si>
  <si>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</si>
  <si>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</si>
  <si>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</si>
  <si>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</si>
  <si>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</si>
  <si>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</si>
  <si>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</si>
  <si>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</si>
  <si>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</si>
  <si>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</si>
  <si>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</si>
  <si>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</si>
  <si>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</si>
  <si>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</si>
  <si>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</si>
  <si>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</si>
  <si>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</si>
  <si>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</si>
  <si>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</si>
  <si>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</si>
  <si>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</si>
  <si>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</si>
  <si>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</si>
  <si>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</si>
  <si>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</si>
  <si>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</si>
  <si>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</si>
  <si>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</si>
  <si>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</si>
  <si>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</si>
  <si>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</si>
  <si>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</si>
  <si>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</si>
  <si>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</si>
  <si>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</si>
  <si>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</si>
  <si>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</si>
  <si>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</si>
  <si>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</si>
  <si>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</si>
  <si>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</si>
  <si>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</si>
  <si>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</si>
  <si>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</si>
  <si>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</si>
  <si>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</si>
  <si>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</si>
  <si>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</si>
  <si>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</si>
  <si>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</si>
  <si>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</si>
  <si>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</si>
  <si>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</si>
  <si>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</si>
  <si>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</si>
  <si>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</si>
  <si>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</si>
  <si>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</si>
  <si>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</si>
  <si>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</si>
  <si>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</si>
  <si>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</si>
  <si>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</si>
  <si>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</si>
  <si>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</si>
  <si>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</si>
  <si>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</si>
  <si>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</si>
  <si>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</si>
  <si>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</si>
  <si>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</si>
  <si>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</si>
  <si>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</si>
  <si>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</si>
  <si>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</si>
  <si>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</si>
  <si>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</si>
  <si>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</si>
  <si>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</si>
  <si>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</si>
  <si>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</si>
  <si>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</si>
  <si>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</si>
  <si>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</si>
  <si>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</si>
  <si>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</si>
  <si>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</si>
  <si>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</si>
  <si>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</si>
  <si>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</si>
  <si>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</si>
  <si>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</si>
  <si>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</si>
  <si>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</si>
  <si>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</si>
  <si>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</si>
  <si>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</si>
  <si>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</si>
  <si>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</si>
  <si>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</si>
  <si>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</si>
  <si>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</si>
  <si>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</si>
  <si>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</si>
  <si>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</si>
  <si>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</si>
  <si>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</si>
  <si>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</si>
  <si>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</si>
  <si>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</si>
  <si>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</si>
  <si>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</si>
  <si>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</si>
  <si>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</si>
  <si>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</si>
  <si>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</si>
  <si>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</si>
  <si>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</si>
  <si>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</si>
  <si>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</si>
  <si>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</si>
  <si>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</si>
  <si>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</si>
  <si>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</si>
  <si>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</si>
  <si>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</si>
  <si>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</si>
  <si>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</si>
  <si>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</si>
  <si>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</si>
  <si>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</si>
  <si>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</si>
  <si>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</si>
  <si>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</si>
  <si>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</si>
  <si>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</si>
  <si>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</si>
  <si>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</si>
  <si>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</si>
  <si>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</si>
  <si>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</si>
  <si>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</si>
  <si>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</si>
  <si>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</si>
  <si>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</si>
  <si>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</si>
  <si>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</si>
  <si>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</si>
  <si>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</si>
  <si>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</si>
  <si>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</si>
  <si>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</si>
  <si>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</si>
  <si>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</si>
  <si>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</si>
  <si>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</si>
  <si>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</si>
  <si>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</si>
  <si>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</si>
  <si>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</si>
  <si>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</si>
  <si>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</si>
  <si>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</si>
  <si>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</si>
  <si>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</si>
  <si>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</si>
  <si>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</si>
  <si>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</si>
  <si>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</si>
  <si>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</si>
  <si>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</si>
  <si>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</si>
  <si>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</si>
  <si>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</si>
  <si>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</si>
  <si>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</si>
  <si>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</si>
  <si>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</si>
  <si>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</si>
  <si>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</si>
  <si>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</si>
  <si>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</si>
  <si>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</si>
  <si>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</si>
  <si>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</si>
  <si>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</si>
  <si>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</si>
  <si>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</si>
  <si>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</si>
  <si>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</si>
  <si>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</si>
  <si>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</si>
  <si>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</si>
  <si>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</si>
  <si>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</si>
  <si>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</si>
  <si>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</si>
  <si>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</si>
  <si>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</si>
  <si>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</si>
  <si>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</si>
  <si>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</si>
  <si>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</si>
  <si>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</si>
  <si>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</si>
  <si>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</si>
  <si>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</si>
  <si>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</si>
  <si>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</si>
  <si>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</si>
  <si>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</si>
  <si>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</si>
  <si>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</si>
  <si>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</si>
  <si>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</si>
  <si>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</si>
  <si>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</si>
  <si>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</si>
  <si>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</si>
  <si>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</si>
  <si>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</si>
  <si>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</si>
  <si>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</si>
  <si>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</si>
  <si>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</si>
  <si>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</si>
  <si>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</si>
  <si>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</si>
  <si>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</si>
  <si>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</si>
  <si>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</si>
  <si>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</si>
  <si>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</si>
  <si>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</si>
  <si>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</si>
  <si>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</si>
  <si>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</si>
  <si>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</si>
  <si>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</si>
  <si>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</si>
  <si>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</si>
  <si>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</si>
  <si>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</si>
  <si>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</si>
  <si>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</si>
  <si>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</si>
  <si>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</si>
  <si>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</si>
  <si>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</si>
  <si>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</si>
  <si>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</si>
  <si>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</si>
  <si>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</si>
  <si>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</si>
  <si>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</si>
  <si>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</si>
  <si>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</si>
  <si>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</si>
  <si>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</si>
  <si>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</si>
  <si>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</si>
  <si>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</si>
  <si>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</si>
  <si>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</si>
  <si>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</si>
  <si>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</si>
  <si>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</si>
  <si>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</si>
  <si>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</si>
  <si>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</si>
  <si>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</si>
  <si>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</si>
  <si>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</si>
  <si>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</si>
  <si>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</si>
  <si>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</si>
  <si>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</si>
  <si>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</si>
  <si>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</si>
  <si>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</si>
  <si>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</si>
  <si>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</si>
  <si>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</si>
  <si>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</si>
  <si>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</si>
  <si>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</si>
  <si>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</si>
  <si>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</si>
  <si>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</si>
  <si>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</si>
  <si>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</si>
  <si>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</si>
  <si>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</si>
  <si>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</si>
  <si>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</si>
  <si>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</si>
  <si>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</si>
  <si>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</si>
  <si>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</si>
  <si>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</si>
  <si>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</si>
  <si>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</si>
  <si>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</si>
  <si>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</si>
  <si>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</si>
  <si>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</si>
  <si>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</si>
  <si>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</si>
  <si>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</si>
  <si>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</si>
  <si>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</si>
  <si>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</si>
  <si>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</si>
  <si>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</si>
  <si>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</si>
  <si>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</si>
  <si>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</si>
  <si>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</si>
  <si>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</si>
  <si>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</si>
  <si>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</si>
  <si>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</si>
  <si>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</si>
  <si>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</si>
  <si>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</si>
  <si>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</si>
  <si>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</si>
  <si>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</si>
  <si>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</si>
  <si>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</si>
  <si>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</si>
  <si>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</si>
  <si>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</si>
  <si>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</si>
  <si>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</si>
  <si>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</si>
  <si>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</si>
  <si>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</si>
  <si>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</si>
  <si>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</si>
  <si>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</si>
  <si>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</si>
  <si>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</si>
  <si>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</si>
  <si>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</si>
  <si>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</si>
  <si>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</si>
  <si>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</si>
  <si>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</si>
  <si>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</si>
  <si>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</si>
  <si>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</si>
  <si>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</si>
  <si>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</si>
  <si>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</si>
  <si>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</si>
  <si>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</si>
  <si>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</si>
  <si>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</si>
  <si>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</si>
  <si>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</si>
  <si>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</si>
  <si>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</si>
  <si>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</si>
  <si>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</si>
  <si>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</si>
  <si>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</si>
  <si>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</si>
  <si>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</si>
  <si>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</si>
  <si>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</si>
  <si>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</si>
  <si>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</si>
  <si>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</si>
  <si>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</si>
  <si>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</si>
  <si>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</si>
  <si>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</si>
  <si>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</si>
  <si>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</si>
  <si>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</si>
  <si>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</si>
  <si>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</si>
  <si>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</si>
  <si>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</si>
  <si>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</si>
  <si>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</si>
  <si>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</si>
  <si>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</si>
  <si>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</si>
  <si>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</si>
  <si>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</si>
  <si>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</si>
  <si>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</si>
  <si>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</si>
  <si>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</si>
  <si>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</si>
  <si>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</si>
  <si>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</si>
  <si>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</si>
  <si>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</si>
  <si>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</si>
  <si>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</si>
  <si>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</si>
  <si>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</si>
  <si>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</si>
  <si>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</si>
  <si>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</si>
  <si>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</si>
  <si>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</si>
  <si>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</si>
  <si>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</si>
  <si>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</si>
  <si>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</si>
  <si>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</si>
  <si>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</si>
  <si>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</si>
  <si>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</si>
  <si>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</si>
  <si>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</si>
  <si>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</si>
  <si>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</si>
  <si>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</si>
  <si>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</si>
  <si>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</si>
  <si>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</si>
  <si>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</si>
  <si>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</si>
  <si>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</si>
  <si>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</si>
  <si>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</si>
  <si>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</si>
  <si>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</si>
  <si>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</si>
  <si>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</si>
  <si>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</si>
  <si>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</si>
  <si>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</si>
  <si>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</si>
  <si>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</si>
  <si>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</si>
  <si>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</si>
  <si>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</si>
  <si>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</si>
  <si>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</si>
  <si>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</si>
  <si>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</si>
  <si>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</si>
  <si>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</si>
  <si>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</si>
  <si>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</si>
  <si>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</si>
  <si>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</si>
  <si>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</si>
  <si>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</si>
  <si>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</si>
  <si>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</si>
  <si>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</si>
  <si>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</si>
  <si>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</si>
  <si>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</si>
  <si>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</si>
  <si>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</si>
  <si>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</si>
  <si>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</si>
  <si>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</si>
  <si>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</si>
  <si>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</si>
  <si>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</si>
  <si>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</si>
  <si>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</si>
  <si>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</si>
  <si>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</si>
  <si>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</si>
  <si>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</si>
  <si>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</si>
  <si>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</si>
  <si>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</si>
  <si>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</si>
  <si>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</si>
  <si>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</si>
  <si>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</si>
  <si>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</si>
  <si>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</si>
  <si>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</si>
  <si>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</si>
  <si>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</si>
  <si>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</si>
  <si>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</si>
  <si>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</si>
  <si>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</si>
  <si>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</si>
  <si>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</si>
  <si>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</si>
  <si>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</si>
  <si>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</si>
  <si>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</si>
  <si>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</si>
  <si>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</si>
  <si>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</si>
  <si>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</si>
  <si>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</si>
  <si>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</si>
  <si>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</si>
  <si>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</si>
  <si>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</si>
  <si>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</si>
  <si>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</si>
  <si>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</si>
  <si>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</si>
  <si>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</si>
  <si>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</si>
  <si>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</si>
  <si>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</si>
  <si>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</si>
  <si>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</si>
  <si>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</si>
  <si>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</si>
  <si>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</si>
  <si>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</si>
  <si>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</si>
  <si>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</si>
  <si>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</si>
  <si>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</si>
  <si>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</si>
  <si>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</si>
  <si>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</si>
  <si>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</si>
  <si>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</si>
  <si>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</si>
  <si>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</si>
  <si>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</si>
  <si>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</si>
  <si>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</si>
  <si>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</si>
  <si>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</si>
  <si>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</si>
  <si>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</si>
  <si>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</si>
  <si>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</si>
  <si>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</si>
  <si>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</si>
  <si>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</si>
  <si>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</si>
  <si>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</si>
  <si>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</si>
  <si>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</si>
  <si>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</si>
  <si>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</si>
  <si>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</si>
  <si>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</si>
  <si>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</si>
  <si>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</si>
  <si>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</si>
  <si>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</si>
  <si>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</si>
  <si>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</si>
  <si>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</si>
  <si>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</si>
  <si>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</si>
  <si>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</si>
  <si>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</si>
  <si>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</si>
  <si>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</si>
  <si>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</si>
  <si>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</si>
  <si>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</si>
  <si>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</si>
  <si>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</si>
  <si>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</si>
  <si>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</si>
  <si>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</si>
  <si>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</si>
  <si>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</si>
  <si>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</si>
  <si>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</si>
  <si>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</si>
  <si>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</si>
  <si>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</si>
  <si>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</si>
  <si>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</si>
  <si>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</si>
  <si>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</si>
  <si>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</si>
  <si>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</si>
  <si>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</si>
  <si>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</si>
  <si>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</si>
  <si>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</si>
  <si>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</si>
  <si>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</si>
  <si>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</si>
  <si>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</si>
  <si>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</si>
  <si>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</si>
  <si>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</si>
  <si>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</si>
  <si>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</si>
  <si>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</si>
  <si>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</si>
  <si>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</si>
  <si>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</si>
  <si>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</si>
  <si>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</si>
  <si>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</si>
  <si>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</si>
  <si>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</si>
  <si>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</si>
  <si>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</si>
  <si>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</si>
  <si>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</si>
  <si>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</si>
  <si>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</si>
  <si>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</si>
  <si>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</si>
  <si>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</si>
  <si>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</si>
  <si>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</si>
  <si>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</si>
  <si>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</si>
  <si>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</si>
  <si>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</si>
  <si>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</si>
  <si>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</si>
  <si>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</si>
  <si>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</si>
  <si>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</si>
  <si>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</si>
  <si>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</si>
  <si>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</si>
  <si>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</si>
  <si>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</si>
  <si>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</si>
  <si>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</si>
  <si>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</si>
  <si>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</si>
  <si>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</si>
  <si>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</si>
  <si>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</si>
  <si>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</si>
  <si>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</si>
  <si>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</si>
  <si>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</si>
  <si>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</si>
  <si>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</si>
  <si>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</si>
  <si>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</si>
  <si>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</si>
  <si>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</si>
  <si>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</si>
  <si>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</si>
  <si>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</si>
  <si>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</si>
  <si>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</si>
  <si>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</si>
  <si>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</si>
  <si>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</si>
  <si>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</si>
  <si>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</si>
  <si>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</si>
  <si>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</si>
  <si>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</si>
  <si>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</si>
  <si>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</si>
  <si>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</si>
  <si>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</si>
  <si>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</si>
  <si>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</si>
  <si>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</si>
  <si>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</si>
  <si>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</si>
  <si>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</si>
  <si>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</si>
  <si>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</si>
  <si>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</si>
  <si>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</si>
  <si>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</si>
  <si>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</si>
  <si>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</si>
  <si>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</si>
  <si>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</si>
  <si>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</si>
  <si>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</si>
  <si>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</si>
  <si>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</si>
  <si>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</si>
  <si>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</si>
  <si>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</si>
  <si>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</si>
  <si>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</si>
  <si>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</si>
  <si>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</si>
  <si>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</si>
  <si>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</si>
  <si>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</si>
  <si>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</si>
  <si>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</si>
  <si>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</si>
  <si>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</si>
  <si>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</si>
  <si>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</si>
  <si>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</si>
  <si>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</si>
  <si>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</si>
  <si>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</si>
  <si>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</si>
  <si>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</si>
  <si>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</si>
  <si>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</si>
  <si>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</si>
  <si>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</si>
  <si>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</si>
  <si>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</si>
  <si>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</si>
  <si>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</si>
  <si>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</si>
  <si>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</si>
  <si>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</si>
  <si>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</si>
  <si>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</si>
  <si>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</si>
  <si>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</si>
  <si>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</si>
  <si>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</si>
  <si>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</si>
  <si>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</si>
  <si>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</si>
  <si>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</si>
  <si>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</si>
  <si>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</si>
  <si>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</si>
  <si>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</si>
  <si>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</si>
  <si>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</si>
  <si>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</si>
  <si>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</si>
  <si>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</si>
  <si>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</si>
  <si>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</si>
  <si>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</si>
  <si>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</si>
  <si>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</si>
  <si>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</si>
  <si>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</si>
  <si>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</si>
  <si>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</si>
  <si>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</si>
  <si>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</si>
  <si>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</si>
  <si>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</si>
  <si>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</si>
  <si>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</si>
  <si>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</si>
  <si>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</si>
  <si>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</si>
  <si>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</si>
  <si>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</si>
  <si>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</si>
  <si>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</si>
  <si>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</si>
  <si>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</si>
  <si>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</si>
  <si>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</si>
  <si>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</si>
  <si>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</si>
  <si>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</si>
  <si>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</si>
  <si>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</si>
  <si>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</si>
  <si>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</si>
  <si>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</si>
  <si>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</si>
  <si>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</si>
  <si>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</si>
  <si>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</si>
  <si>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</si>
  <si>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</si>
  <si>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</si>
  <si>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</si>
  <si>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</si>
  <si>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</si>
  <si>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</si>
  <si>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</si>
  <si>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</si>
  <si>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</si>
  <si>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</si>
  <si>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</si>
  <si>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</si>
  <si>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</si>
  <si>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</si>
  <si>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</si>
  <si>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</si>
  <si>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</si>
  <si>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</si>
  <si>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</si>
  <si>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</si>
  <si>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</si>
  <si>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</si>
  <si>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</si>
  <si>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</si>
  <si>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</si>
  <si>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</si>
  <si>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</si>
  <si>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</si>
  <si>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</si>
  <si>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</si>
  <si>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</si>
  <si>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</si>
  <si>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</si>
  <si>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</si>
  <si>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</si>
  <si>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</si>
  <si>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</si>
  <si>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</si>
  <si>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</si>
  <si>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</si>
  <si>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</si>
  <si>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</si>
  <si>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</si>
  <si>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</si>
  <si>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</si>
  <si>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</si>
  <si>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</si>
  <si>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</si>
  <si>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</si>
  <si>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</si>
  <si>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</si>
  <si>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</si>
  <si>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</si>
  <si>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</si>
  <si>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</si>
  <si>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</si>
  <si>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</si>
  <si>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</si>
  <si>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</si>
  <si>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</si>
  <si>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</si>
  <si>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</si>
  <si>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</si>
  <si>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</si>
  <si>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</si>
  <si>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</si>
  <si>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</si>
  <si>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</si>
  <si>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</si>
  <si>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</si>
  <si>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</si>
  <si>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</si>
  <si>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</si>
  <si>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</si>
  <si>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</si>
  <si>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</si>
  <si>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</si>
  <si>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</si>
  <si>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</si>
  <si>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</si>
  <si>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</si>
  <si>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</si>
  <si>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</si>
  <si>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</si>
  <si>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</si>
  <si>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</si>
  <si>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</si>
  <si>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</si>
  <si>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</si>
  <si>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</si>
  <si>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</si>
  <si>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</si>
  <si>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</si>
  <si>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</si>
  <si>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</si>
  <si>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</si>
  <si>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</si>
  <si>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</si>
  <si>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</si>
  <si>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</si>
  <si>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</si>
  <si>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</si>
  <si>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</si>
  <si>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</si>
  <si>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</si>
  <si>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</si>
  <si>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</si>
  <si>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</si>
  <si>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</si>
  <si>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</si>
  <si>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</si>
  <si>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</si>
  <si>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</si>
  <si>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</si>
  <si>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</si>
  <si>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</si>
  <si>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</si>
  <si>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</si>
  <si>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</si>
  <si>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</si>
  <si>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</si>
  <si>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</si>
  <si>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</si>
  <si>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</si>
  <si>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</si>
  <si>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</si>
  <si>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</si>
  <si>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</si>
  <si>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</si>
  <si>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</si>
  <si>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</si>
  <si>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</si>
  <si>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</si>
  <si>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</si>
  <si>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</si>
  <si>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</si>
  <si>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</si>
  <si>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</si>
  <si>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</si>
  <si>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</si>
  <si>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</si>
  <si>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</si>
  <si>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</si>
  <si>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</si>
  <si>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</si>
  <si>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</si>
  <si>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</si>
  <si>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</si>
  <si>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</si>
  <si>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</si>
  <si>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</si>
  <si>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</si>
  <si>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</si>
  <si>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</si>
  <si>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</si>
  <si>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</si>
  <si>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</si>
  <si>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</si>
  <si>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</si>
  <si>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</si>
  <si>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</si>
  <si>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</si>
  <si>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</si>
  <si>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</si>
  <si>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</si>
  <si>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</si>
  <si>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</si>
  <si>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</si>
  <si>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</si>
  <si>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</si>
  <si>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</si>
  <si>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</si>
  <si>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</si>
  <si>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</si>
  <si>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</si>
  <si>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</si>
  <si>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</si>
  <si>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</si>
  <si>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</si>
  <si>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</si>
  <si>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</si>
  <si>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</si>
  <si>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</si>
  <si>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</si>
  <si>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</si>
  <si>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</si>
  <si>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</si>
  <si>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</si>
  <si>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</si>
  <si>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</si>
  <si>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</si>
  <si>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</si>
  <si>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</si>
  <si>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</si>
  <si>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</si>
  <si>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</si>
  <si>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</si>
  <si>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</si>
  <si>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</si>
  <si>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</si>
  <si>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</si>
  <si>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</si>
  <si>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</si>
  <si>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</si>
  <si>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</si>
  <si>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</si>
  <si>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</si>
  <si>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</si>
  <si>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</si>
  <si>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</si>
  <si>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</si>
  <si>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</si>
  <si>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</si>
  <si>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</si>
  <si>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</si>
  <si>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</si>
  <si>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</si>
  <si>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</si>
  <si>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</si>
  <si>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</si>
  <si>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</si>
  <si>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</si>
  <si>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</si>
  <si>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</si>
  <si>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</si>
  <si>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</si>
  <si>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</si>
  <si>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</si>
  <si>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</si>
  <si>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</si>
  <si>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</si>
  <si>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</si>
  <si>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</si>
  <si>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</si>
  <si>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</si>
  <si>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</si>
  <si>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</si>
  <si>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</si>
  <si>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</si>
  <si>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</si>
  <si>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</si>
  <si>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</si>
  <si>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</si>
  <si>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</si>
  <si>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</si>
  <si>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</si>
  <si>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</si>
  <si>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</si>
  <si>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</si>
  <si>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</si>
  <si>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</si>
  <si>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</si>
  <si>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</si>
  <si>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</si>
  <si>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</si>
  <si>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</si>
  <si>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</si>
  <si>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</si>
  <si>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</si>
  <si>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</si>
  <si>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</si>
  <si>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</si>
  <si>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</si>
  <si>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</si>
  <si>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</si>
  <si>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</si>
  <si>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</si>
  <si>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</si>
  <si>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</si>
  <si>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</si>
  <si>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</si>
  <si>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</si>
  <si>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</si>
  <si>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</si>
  <si>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</si>
  <si>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</si>
  <si>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</si>
  <si>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</si>
  <si>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</si>
  <si>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</si>
  <si>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</si>
  <si>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</si>
  <si>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</si>
  <si>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</si>
  <si>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</si>
  <si>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</si>
  <si>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</si>
  <si>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</si>
  <si>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</si>
  <si>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</si>
  <si>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</si>
  <si>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</si>
  <si>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</si>
  <si>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</si>
  <si>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</si>
  <si>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</si>
  <si>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</si>
  <si>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</si>
  <si>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</si>
  <si>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</si>
  <si>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</si>
  <si>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</si>
  <si>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</si>
  <si>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</si>
  <si>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</si>
  <si>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</si>
  <si>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</si>
  <si>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</si>
  <si>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</si>
  <si>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</si>
  <si>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</si>
  <si>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</si>
  <si>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</si>
  <si>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</si>
  <si>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</si>
  <si>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</si>
  <si>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</si>
  <si>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</si>
  <si>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</si>
  <si>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</si>
  <si>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</si>
  <si>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</si>
  <si>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</si>
  <si>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</si>
  <si>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</si>
  <si>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</si>
  <si>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</si>
  <si>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</si>
  <si>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</si>
  <si>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</si>
  <si>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</si>
  <si>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</si>
  <si>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</si>
  <si>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</si>
  <si>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</si>
  <si>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</si>
  <si>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</si>
  <si>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</si>
  <si>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</si>
  <si>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</si>
  <si>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</si>
  <si>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</si>
  <si>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</si>
  <si>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</si>
  <si>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</si>
  <si>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</si>
  <si>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</si>
  <si>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</si>
  <si>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</si>
  <si>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</si>
  <si>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</si>
  <si>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</si>
  <si>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</si>
  <si>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</si>
  <si>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</si>
  <si>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</si>
  <si>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</si>
  <si>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</si>
  <si>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</si>
  <si>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</si>
  <si>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</si>
  <si>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</si>
  <si>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</si>
  <si>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</si>
  <si>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</si>
  <si>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</si>
  <si>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</si>
  <si>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</si>
  <si>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</si>
  <si>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</si>
  <si>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</si>
  <si>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</si>
  <si>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</si>
  <si>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</si>
  <si>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</si>
  <si>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</si>
  <si>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</si>
  <si>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</si>
  <si>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</si>
  <si>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</si>
  <si>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</si>
  <si>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</si>
  <si>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</si>
  <si>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</si>
  <si>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</si>
  <si>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</si>
  <si>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</si>
  <si>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</si>
  <si>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</si>
  <si>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</si>
  <si>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</si>
  <si>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</si>
  <si>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</si>
  <si>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</si>
  <si>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</si>
  <si>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</si>
  <si>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</si>
  <si>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</si>
  <si>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</si>
  <si>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</si>
  <si>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</si>
  <si>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</si>
  <si>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</si>
  <si>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</si>
  <si>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</si>
  <si>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</si>
  <si>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</si>
  <si>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</si>
  <si>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</si>
  <si>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</si>
  <si>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</si>
  <si>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</si>
  <si>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</si>
  <si>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</si>
  <si>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</si>
  <si>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</si>
  <si>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</si>
  <si>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</si>
  <si>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</si>
  <si>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</si>
  <si>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</si>
  <si>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</si>
  <si>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</si>
  <si>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</si>
  <si>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</si>
  <si>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</si>
  <si>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</si>
  <si>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</si>
  <si>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</si>
  <si>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</si>
  <si>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</si>
  <si>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</si>
  <si>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</si>
  <si>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</si>
  <si>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</si>
  <si>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</si>
  <si>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</si>
  <si>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</si>
  <si>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</si>
  <si>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</si>
  <si>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</si>
  <si>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</si>
  <si>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</si>
  <si>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</si>
  <si>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</si>
  <si>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</si>
  <si>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</si>
  <si>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</si>
  <si>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</si>
  <si>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</si>
  <si>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</si>
  <si>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</si>
  <si>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</si>
  <si>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</si>
  <si>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</si>
  <si>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</si>
  <si>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</si>
  <si>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</si>
  <si>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</si>
  <si>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</si>
  <si>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</si>
  <si>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</si>
  <si>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</si>
  <si>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</si>
  <si>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</si>
  <si>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</si>
  <si>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</si>
  <si>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</si>
  <si>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</si>
  <si>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</si>
  <si>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</si>
  <si>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</si>
  <si>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</si>
  <si>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</si>
  <si>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</si>
  <si>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</si>
  <si>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</si>
  <si>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</si>
  <si>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</si>
  <si>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</si>
  <si>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</si>
  <si>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</si>
  <si>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</si>
  <si>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</si>
  <si>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</si>
  <si>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</si>
  <si>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</si>
  <si>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</si>
  <si>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</si>
  <si>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</si>
  <si>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</si>
  <si>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</si>
  <si>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</si>
  <si>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</si>
  <si>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</si>
  <si>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</si>
  <si>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</si>
  <si>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</si>
  <si>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</si>
  <si>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</si>
  <si>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</si>
  <si>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</si>
  <si>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</si>
  <si>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</si>
  <si>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</si>
  <si>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</si>
  <si>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</si>
  <si>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</si>
  <si>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</si>
  <si>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</si>
  <si>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</si>
  <si>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</si>
  <si>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</si>
  <si>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</si>
  <si>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</si>
  <si>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</si>
  <si>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</si>
  <si>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</si>
  <si>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</si>
  <si>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</si>
  <si>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</si>
  <si>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</si>
  <si>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</si>
  <si>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</si>
  <si>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</si>
  <si>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</si>
  <si>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</si>
  <si>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</si>
  <si>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</si>
  <si>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</si>
  <si>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</si>
  <si>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</si>
  <si>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</si>
  <si>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</si>
  <si>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</si>
  <si>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</si>
  <si>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</si>
  <si>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</si>
  <si>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</si>
  <si>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</si>
  <si>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</si>
  <si>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</si>
  <si>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</si>
  <si>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</si>
  <si>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</si>
  <si>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</si>
  <si>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</si>
  <si>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</si>
  <si>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</si>
  <si>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</si>
  <si>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</si>
  <si>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</si>
  <si>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</si>
  <si>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</si>
  <si>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</si>
  <si>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</si>
  <si>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</si>
  <si>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</si>
  <si>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</si>
  <si>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</si>
  <si>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</si>
  <si>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</si>
  <si>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</si>
  <si>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</si>
  <si>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</si>
  <si>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</si>
  <si>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</si>
  <si>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</si>
  <si>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</si>
  <si>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</si>
  <si>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</si>
  <si>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</si>
  <si>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</si>
  <si>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</si>
  <si>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</si>
  <si>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</si>
  <si>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</si>
  <si>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</si>
  <si>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</si>
  <si>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</si>
  <si>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</si>
  <si>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</si>
  <si>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</si>
  <si>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</si>
  <si>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</si>
  <si>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</si>
  <si>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</si>
  <si>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</si>
  <si>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</si>
  <si>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</si>
  <si>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</si>
  <si>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</si>
  <si>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</si>
  <si>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</si>
  <si>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</si>
  <si>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</si>
  <si>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</si>
  <si>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</si>
  <si>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</si>
  <si>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</si>
  <si>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</si>
  <si>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</si>
  <si>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</si>
  <si>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</si>
  <si>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</si>
  <si>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</si>
  <si>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</si>
  <si>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</si>
  <si>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</si>
  <si>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</si>
  <si>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</si>
  <si>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</si>
  <si>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</si>
  <si>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</si>
  <si>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</si>
  <si>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</si>
  <si>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</si>
  <si>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</si>
  <si>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</si>
  <si>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</si>
  <si>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</si>
  <si>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</si>
  <si>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</si>
  <si>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</si>
  <si>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</si>
  <si>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</si>
  <si>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</si>
  <si>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</si>
  <si>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</si>
  <si>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</si>
  <si>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</si>
  <si>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</si>
  <si>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</si>
  <si>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</si>
  <si>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</si>
  <si>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</si>
  <si>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</si>
  <si>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</si>
  <si>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</si>
  <si>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</si>
  <si>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</si>
  <si>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</si>
  <si>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</si>
  <si>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</si>
  <si>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</si>
  <si>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</si>
  <si>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</si>
  <si>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</si>
  <si>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</si>
  <si>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</si>
  <si>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</si>
  <si>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</si>
  <si>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</si>
  <si>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</si>
  <si>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</si>
  <si>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</si>
  <si>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</si>
  <si>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</si>
  <si>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</si>
  <si>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</si>
  <si>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</si>
  <si>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</si>
  <si>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</si>
  <si>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</si>
  <si>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</si>
  <si>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</si>
  <si>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</si>
  <si>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</si>
  <si>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</si>
  <si>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</si>
  <si>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</si>
  <si>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</si>
  <si>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</si>
  <si>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</si>
  <si>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</si>
  <si>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</si>
  <si>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</si>
  <si>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</si>
  <si>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</si>
  <si>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</si>
  <si>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</si>
  <si>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</si>
  <si>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</si>
  <si>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</si>
  <si>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</si>
  <si>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</si>
  <si>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</si>
  <si>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</si>
  <si>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</si>
  <si>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</si>
  <si>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</si>
  <si>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</si>
  <si>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</si>
  <si>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</si>
  <si>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</si>
  <si>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</si>
  <si>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</si>
  <si>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</si>
  <si>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</si>
  <si>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</si>
  <si>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</si>
  <si>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</si>
  <si>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</si>
  <si>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</si>
  <si>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</si>
  <si>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</si>
  <si>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</si>
  <si>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</si>
  <si>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</si>
  <si>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</si>
  <si>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</si>
  <si>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</si>
  <si>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</si>
  <si>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</si>
  <si>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</si>
  <si>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</si>
  <si>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</si>
  <si>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</si>
  <si>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</si>
  <si>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</si>
  <si>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</si>
  <si>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</si>
  <si>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</si>
  <si>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</si>
  <si>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</si>
  <si>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</si>
  <si>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</si>
  <si>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</si>
  <si>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</si>
  <si>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</si>
  <si>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</si>
  <si>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</si>
  <si>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</si>
  <si>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</si>
  <si>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</si>
  <si>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</si>
  <si>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</si>
  <si>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</si>
  <si>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</si>
  <si>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</si>
  <si>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</si>
  <si>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</si>
  <si>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</si>
  <si>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</si>
  <si>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</si>
  <si>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</si>
  <si>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</si>
  <si>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</si>
  <si>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</si>
  <si>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</si>
  <si>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</si>
  <si>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</si>
  <si>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</si>
  <si>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</si>
  <si>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</si>
  <si>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</si>
  <si>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</si>
  <si>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</si>
  <si>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</si>
  <si>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</si>
  <si>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</si>
  <si>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</si>
  <si>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</si>
  <si>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</si>
  <si>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</si>
  <si>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</si>
  <si>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</si>
  <si>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</si>
  <si>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</si>
  <si>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</si>
  <si>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</si>
  <si>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</si>
  <si>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</si>
  <si>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</si>
  <si>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</si>
  <si>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</si>
  <si>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</si>
  <si>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</si>
  <si>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</si>
  <si>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</si>
  <si>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</si>
  <si>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</si>
  <si>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</si>
  <si>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</si>
  <si>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</si>
  <si>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</si>
  <si>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</si>
  <si>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</si>
  <si>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</si>
  <si>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</si>
  <si>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</si>
  <si>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</si>
  <si>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</si>
  <si>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</si>
  <si>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</si>
  <si>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</si>
  <si>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</si>
  <si>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</si>
  <si>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</si>
  <si>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</si>
  <si>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</si>
  <si>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</si>
  <si>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</si>
  <si>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</si>
  <si>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</si>
  <si>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</si>
  <si>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</si>
  <si>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</si>
  <si>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</si>
  <si>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</si>
  <si>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</si>
  <si>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</si>
  <si>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</si>
  <si>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</si>
  <si>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</si>
  <si>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</si>
  <si>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</si>
  <si>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</si>
  <si>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</si>
  <si>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</si>
  <si>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</si>
  <si>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</si>
  <si>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</si>
  <si>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</si>
  <si>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</si>
  <si>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</si>
  <si>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</si>
  <si>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</si>
  <si>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</si>
  <si>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</si>
  <si>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</si>
  <si>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</si>
  <si>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</si>
  <si>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</si>
  <si>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</si>
  <si>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</si>
  <si>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</si>
  <si>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</si>
  <si>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</si>
  <si>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</si>
  <si>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</si>
  <si>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</si>
  <si>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</si>
  <si>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</si>
  <si>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</si>
  <si>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</si>
  <si>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</si>
  <si>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</si>
  <si>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</si>
  <si>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</si>
  <si>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</si>
  <si>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</si>
  <si>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</si>
  <si>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</si>
  <si>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</si>
  <si>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</si>
  <si>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</si>
  <si>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</si>
  <si>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</si>
  <si>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</si>
  <si>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</si>
  <si>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</si>
  <si>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</si>
  <si>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</si>
  <si>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</si>
  <si>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</si>
  <si>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</si>
  <si>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</si>
  <si>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</si>
  <si>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</si>
  <si>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</si>
  <si>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</si>
  <si>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</si>
  <si>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</si>
  <si>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</si>
  <si>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</si>
  <si>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</si>
  <si>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</si>
  <si>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</si>
  <si>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</si>
  <si>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</si>
  <si>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</si>
  <si>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</si>
  <si>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</si>
  <si>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</si>
  <si>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</si>
  <si>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</si>
  <si>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</si>
  <si>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</si>
  <si>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</si>
  <si>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</si>
  <si>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</si>
  <si>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</si>
  <si>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</si>
  <si>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</si>
  <si>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</si>
  <si>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</si>
  <si>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</si>
  <si>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</si>
  <si>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</si>
  <si>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</si>
  <si>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</si>
  <si>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</si>
  <si>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</si>
  <si>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</si>
  <si>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</si>
  <si>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</si>
  <si>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</si>
  <si>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</si>
  <si>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</si>
  <si>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</si>
  <si>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</si>
  <si>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</si>
  <si>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</si>
  <si>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</si>
  <si>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</si>
  <si>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</si>
  <si>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</si>
  <si>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</si>
  <si>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</si>
  <si>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</si>
  <si>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</si>
  <si>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</si>
  <si>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</si>
  <si>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</si>
  <si>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</si>
  <si>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</si>
  <si>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</si>
  <si>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</si>
  <si>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</si>
  <si>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</si>
  <si>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</si>
  <si>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</si>
  <si>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</si>
  <si>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</si>
  <si>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</si>
  <si>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</si>
  <si>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</si>
  <si>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</si>
  <si>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</si>
  <si>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</si>
  <si>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</si>
  <si>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</si>
  <si>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</si>
  <si>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</si>
  <si>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</si>
  <si>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</si>
  <si>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</si>
  <si>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</si>
  <si>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</si>
  <si>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</si>
  <si>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</si>
  <si>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</si>
  <si>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</si>
  <si>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</si>
  <si>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</si>
  <si>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</si>
  <si>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</si>
  <si>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</si>
  <si>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</si>
  <si>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</si>
  <si>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</si>
  <si>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</si>
  <si>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</si>
  <si>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</si>
  <si>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</si>
  <si>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</si>
  <si>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</si>
  <si>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</si>
  <si>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</si>
  <si>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</si>
  <si>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</si>
  <si>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</si>
  <si>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</si>
  <si>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</si>
  <si>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</si>
  <si>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</si>
  <si>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</si>
  <si>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</si>
  <si>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</si>
  <si>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</si>
  <si>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</si>
  <si>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</si>
  <si>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</si>
  <si>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</si>
  <si>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</si>
  <si>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</si>
  <si>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</si>
  <si>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</si>
  <si>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</si>
  <si>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</si>
  <si>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</si>
  <si>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</si>
  <si>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</si>
  <si>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</si>
  <si>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</si>
  <si>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</si>
  <si>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</si>
  <si>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</si>
  <si>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</si>
  <si>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</si>
  <si>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</si>
  <si>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</si>
  <si>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</si>
  <si>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</si>
  <si>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</si>
  <si>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</si>
  <si>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</si>
  <si>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</si>
  <si>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</si>
  <si>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</si>
  <si>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</si>
  <si>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</si>
  <si>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</si>
  <si>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</si>
  <si>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</si>
  <si>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</si>
  <si>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</si>
  <si>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</si>
  <si>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</si>
  <si>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</si>
  <si>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</si>
  <si>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</si>
  <si>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</si>
  <si>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</si>
  <si>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</si>
  <si>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</si>
  <si>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</si>
  <si>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</si>
  <si>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</si>
  <si>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</si>
  <si>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</si>
  <si>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</si>
  <si>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</si>
  <si>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</si>
  <si>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</si>
  <si>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</si>
  <si>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</si>
  <si>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</si>
  <si>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</si>
  <si>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</si>
  <si>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</si>
  <si>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</si>
  <si>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</si>
  <si>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</si>
  <si>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</si>
  <si>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</si>
  <si>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</si>
  <si>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</si>
  <si>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</si>
  <si>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</si>
  <si>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</si>
  <si>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</si>
  <si>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</si>
  <si>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</si>
  <si>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</si>
  <si>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</si>
  <si>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</si>
  <si>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</si>
  <si>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</si>
  <si>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</si>
  <si>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</si>
  <si>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</si>
  <si>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</si>
  <si>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</si>
  <si>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</si>
  <si>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</si>
  <si>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</si>
  <si>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</si>
  <si>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</si>
  <si>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</si>
  <si>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</si>
  <si>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</si>
  <si>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</si>
  <si>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</si>
  <si>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</si>
  <si>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</si>
  <si>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</si>
  <si>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</si>
  <si>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</si>
  <si>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</si>
  <si>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</si>
  <si>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</si>
  <si>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</si>
  <si>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</si>
  <si>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</si>
  <si>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</si>
  <si>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</si>
  <si>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</si>
  <si>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</si>
  <si>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</si>
  <si>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</si>
  <si>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</si>
  <si>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</si>
  <si>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</si>
  <si>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</si>
  <si>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</si>
  <si>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</si>
  <si>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</si>
  <si>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</si>
  <si>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</si>
  <si>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</si>
  <si>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</si>
  <si>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</si>
  <si>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</si>
  <si>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</si>
  <si>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</si>
  <si>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</si>
  <si>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</si>
  <si>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</si>
  <si>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</si>
  <si>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</si>
  <si>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</si>
  <si>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</si>
  <si>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</si>
  <si>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</si>
  <si>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</si>
  <si>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</si>
  <si>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</si>
  <si>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</si>
  <si>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</si>
  <si>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</si>
  <si>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</si>
  <si>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</si>
  <si>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</si>
  <si>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</si>
  <si>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</si>
  <si>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</si>
  <si>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</si>
  <si>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</si>
  <si>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</si>
  <si>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</si>
  <si>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</si>
  <si>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</si>
  <si>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</si>
  <si>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</si>
  <si>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</si>
  <si>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</si>
  <si>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</si>
  <si>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</si>
  <si>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</si>
  <si>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</si>
  <si>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</si>
  <si>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</si>
  <si>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</si>
  <si>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</si>
  <si>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</si>
  <si>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</si>
  <si>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</si>
  <si>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</si>
  <si>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</si>
  <si>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</si>
  <si>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</si>
  <si>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</si>
  <si>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</si>
  <si>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</si>
  <si>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</si>
  <si>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</si>
  <si>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</si>
  <si>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</si>
  <si>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</si>
  <si>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</si>
  <si>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</si>
  <si>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</si>
  <si>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</si>
  <si>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</si>
  <si>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</si>
  <si>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</si>
  <si>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</si>
  <si>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</si>
  <si>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</si>
  <si>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</si>
  <si>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</si>
  <si>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</si>
  <si>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</si>
  <si>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</si>
  <si>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</si>
  <si>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</si>
  <si>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</si>
  <si>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</si>
  <si>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</si>
  <si>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</si>
  <si>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</si>
  <si>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</si>
  <si>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</si>
  <si>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</si>
  <si>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</si>
  <si>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</si>
  <si>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</si>
  <si>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</si>
  <si>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</si>
  <si>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</si>
  <si>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</si>
  <si>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</si>
  <si>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</si>
  <si>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</si>
  <si>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</si>
  <si>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</si>
  <si>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</si>
  <si>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</si>
  <si>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</si>
  <si>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</si>
  <si>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</si>
  <si>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</si>
  <si>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</si>
  <si>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</si>
  <si>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</si>
  <si>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</si>
  <si>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</si>
  <si>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</si>
  <si>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</si>
  <si>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</si>
  <si>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</si>
  <si>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</si>
  <si>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</si>
  <si>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</si>
  <si>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</si>
  <si>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</si>
  <si>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</si>
  <si>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</si>
  <si>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</si>
  <si>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</si>
  <si>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</si>
  <si>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</si>
  <si>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</si>
  <si>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</si>
  <si>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</si>
  <si>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</si>
  <si>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</si>
  <si>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</si>
  <si>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</si>
  <si>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</si>
  <si>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</si>
  <si>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</si>
  <si>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</si>
  <si>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</si>
  <si>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</si>
  <si>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</si>
  <si>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</si>
  <si>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</si>
  <si>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</si>
  <si>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</si>
  <si>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</si>
  <si>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</si>
  <si>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</si>
  <si>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</si>
  <si>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</si>
  <si>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</si>
  <si>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</si>
  <si>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</si>
  <si>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</si>
  <si>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</si>
  <si>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</si>
  <si>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</si>
  <si>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</si>
  <si>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</si>
  <si>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</si>
  <si>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</si>
  <si>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</si>
  <si>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</si>
  <si>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</si>
  <si>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</si>
  <si>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</si>
  <si>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</si>
  <si>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</si>
  <si>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</si>
  <si>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</si>
  <si>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</si>
  <si>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</si>
  <si>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</si>
  <si>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</si>
  <si>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</si>
  <si>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</si>
  <si>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</si>
  <si>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</si>
  <si>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</si>
  <si>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</si>
  <si>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</si>
  <si>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</si>
  <si>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</si>
  <si>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</si>
  <si>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</si>
  <si>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</si>
  <si>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</si>
  <si>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</si>
  <si>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</si>
  <si>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</si>
  <si>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</si>
  <si>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</si>
  <si>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</si>
  <si>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</si>
  <si>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</si>
  <si>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</si>
  <si>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</si>
  <si>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</si>
  <si>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</si>
  <si>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</si>
  <si>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</si>
  <si>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</si>
  <si>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</si>
  <si>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</si>
  <si>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</si>
  <si>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</si>
  <si>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</si>
  <si>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</si>
  <si>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</si>
  <si>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</si>
  <si>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</si>
  <si>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</si>
  <si>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</si>
  <si>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</si>
  <si>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</si>
  <si>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</si>
  <si>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</si>
  <si>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</si>
  <si>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</si>
  <si>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</si>
  <si>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</si>
  <si>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</si>
  <si>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</si>
  <si>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</si>
  <si>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</si>
  <si>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</si>
  <si>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</si>
  <si>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</si>
  <si>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</si>
  <si>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</si>
  <si>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</si>
  <si>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</si>
  <si>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</si>
  <si>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</si>
  <si>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</si>
  <si>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</si>
  <si>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</si>
  <si>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</si>
  <si>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</si>
  <si>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</si>
  <si>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</si>
  <si>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</si>
  <si>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</si>
  <si>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</si>
  <si>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</si>
  <si>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</si>
  <si>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</si>
  <si>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</si>
  <si>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</si>
  <si>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</si>
  <si>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</si>
  <si>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</si>
  <si>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</si>
  <si>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</si>
  <si>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</si>
  <si>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</si>
  <si>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</si>
  <si>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</si>
  <si>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</si>
  <si>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</si>
  <si>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</si>
  <si>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</si>
  <si>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</si>
  <si>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</si>
  <si>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</si>
  <si>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</si>
  <si>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</si>
  <si>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</si>
  <si>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</si>
  <si>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</si>
  <si>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</si>
  <si>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</si>
  <si>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</si>
  <si>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</si>
  <si>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</si>
  <si>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</si>
  <si>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</si>
  <si>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</si>
  <si>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</si>
  <si>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</si>
  <si>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</si>
  <si>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</si>
  <si>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</si>
  <si>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</si>
  <si>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</si>
  <si>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</si>
  <si>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</si>
  <si>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</si>
  <si>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</si>
  <si>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</si>
  <si>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</si>
  <si>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</si>
  <si>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</si>
  <si>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</si>
  <si>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</si>
  <si>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</si>
  <si>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</si>
  <si>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</si>
  <si>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</si>
  <si>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</si>
  <si>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</si>
  <si>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</si>
  <si>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</si>
  <si>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</si>
  <si>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</si>
  <si>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</si>
  <si>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</si>
  <si>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</si>
  <si>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</si>
  <si>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</si>
  <si>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</si>
  <si>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</si>
  <si>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</si>
  <si>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</si>
  <si>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</si>
  <si>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</si>
  <si>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</si>
  <si>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</si>
  <si>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</si>
  <si>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</si>
  <si>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</si>
  <si>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</si>
  <si>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</si>
  <si>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</si>
  <si>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</si>
  <si>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</si>
  <si>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</si>
  <si>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</si>
  <si>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</si>
  <si>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</si>
  <si>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</si>
  <si>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</si>
  <si>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</si>
  <si>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</si>
  <si>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</si>
  <si>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</si>
  <si>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</si>
  <si>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</si>
  <si>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</si>
  <si>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</si>
  <si>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</si>
  <si>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</si>
  <si>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</si>
  <si>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</si>
  <si>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</si>
  <si>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</si>
  <si>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</si>
  <si>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</si>
  <si>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</si>
  <si>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</si>
  <si>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</si>
  <si>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</si>
  <si>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</si>
  <si>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</si>
  <si>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</si>
  <si>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</si>
  <si>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</si>
  <si>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</si>
  <si>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</si>
  <si>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</si>
  <si>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</si>
  <si>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</si>
  <si>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</si>
  <si>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</si>
  <si>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</si>
  <si>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</si>
  <si>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</si>
  <si>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</si>
  <si>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</si>
  <si>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</si>
  <si>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</si>
  <si>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</si>
  <si>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</si>
  <si>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</si>
  <si>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</si>
  <si>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</si>
  <si>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</si>
  <si>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</si>
  <si>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</si>
  <si>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</si>
  <si>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</si>
  <si>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</si>
  <si>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</si>
  <si>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</si>
  <si>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</si>
  <si>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</si>
  <si>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</si>
  <si>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</si>
  <si>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</si>
  <si>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</si>
  <si>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</si>
  <si>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</si>
  <si>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</si>
  <si>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</si>
  <si>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</si>
  <si>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</si>
  <si>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</si>
  <si>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</si>
  <si>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</si>
  <si>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</si>
  <si>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</si>
  <si>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</si>
  <si>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</si>
  <si>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</si>
  <si>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</si>
  <si>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</si>
  <si>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</si>
  <si>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</si>
  <si>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</si>
  <si>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</si>
  <si>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</si>
  <si>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</si>
  <si>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</si>
  <si>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</si>
  <si>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</si>
  <si>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</si>
  <si>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</si>
  <si>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</si>
  <si>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</si>
  <si>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</si>
  <si>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</si>
  <si>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</si>
  <si>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</si>
  <si>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</si>
  <si>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</si>
  <si>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</si>
  <si>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</si>
  <si>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</si>
  <si>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</si>
  <si>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</si>
  <si>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</si>
  <si>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</si>
  <si>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</si>
  <si>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</si>
  <si>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</si>
  <si>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</si>
  <si>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</si>
  <si>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</si>
  <si>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</si>
  <si>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</si>
  <si>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</si>
  <si>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</si>
  <si>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</si>
  <si>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</si>
  <si>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</si>
  <si>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</si>
  <si>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</si>
  <si>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</si>
  <si>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</si>
  <si>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</si>
  <si>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</si>
  <si>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</si>
  <si>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</si>
  <si>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</si>
  <si>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</si>
  <si>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</si>
  <si>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</si>
  <si>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</si>
  <si>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</si>
  <si>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</si>
  <si>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</si>
  <si>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</si>
  <si>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</si>
  <si>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</si>
  <si>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</si>
  <si>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</si>
  <si>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</si>
  <si>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</si>
  <si>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</si>
  <si>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</si>
  <si>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</si>
  <si>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</si>
  <si>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</si>
  <si>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</si>
  <si>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</si>
  <si>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</si>
  <si>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</si>
  <si>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</si>
  <si>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</si>
  <si>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</si>
  <si>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</si>
  <si>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</si>
  <si>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</si>
  <si>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</si>
  <si>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</si>
  <si>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</si>
  <si>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</si>
  <si>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</si>
  <si>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</si>
  <si>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</si>
  <si>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</si>
  <si>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</si>
  <si>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</si>
  <si>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</si>
  <si>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</si>
  <si>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</si>
  <si>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</si>
  <si>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</si>
  <si>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</si>
  <si>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</si>
  <si>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</si>
  <si>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</si>
  <si>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</si>
  <si>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</si>
  <si>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</si>
  <si>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</si>
  <si>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</si>
  <si>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</si>
  <si>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</si>
  <si>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</si>
  <si>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</si>
  <si>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</si>
  <si>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</si>
  <si>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</si>
  <si>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</si>
  <si>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</si>
  <si>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</si>
  <si>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</si>
  <si>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</si>
  <si>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</si>
  <si>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</si>
  <si>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</si>
  <si>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</si>
  <si>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</si>
  <si>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</si>
  <si>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</si>
  <si>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</si>
  <si>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</si>
  <si>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</si>
  <si>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</si>
  <si>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</si>
  <si>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</si>
  <si>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</si>
  <si>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</si>
  <si>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</si>
  <si>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</si>
  <si>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</si>
  <si>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</si>
  <si>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</si>
  <si>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</si>
  <si>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</si>
  <si>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</si>
  <si>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</si>
  <si>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</si>
  <si>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</si>
  <si>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</si>
  <si>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</si>
  <si>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</si>
  <si>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</si>
  <si>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</si>
  <si>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</si>
  <si>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</si>
  <si>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</si>
  <si>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</si>
  <si>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</si>
  <si>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</si>
  <si>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</si>
  <si>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</si>
  <si>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</si>
  <si>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</si>
  <si>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</si>
  <si>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</si>
  <si>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</si>
  <si>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</si>
  <si>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</si>
  <si>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</si>
  <si>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</si>
  <si>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</si>
  <si>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</si>
  <si>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</si>
  <si>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</si>
  <si>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</si>
  <si>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</si>
  <si>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</si>
  <si>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</si>
  <si>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</si>
  <si>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</si>
  <si>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</si>
  <si>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</si>
  <si>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</si>
  <si>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</si>
  <si>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</si>
  <si>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</si>
  <si>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</si>
  <si>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</si>
  <si>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</si>
  <si>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</si>
  <si>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</si>
  <si>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</si>
  <si>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</si>
  <si>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</si>
  <si>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</si>
  <si>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</si>
  <si>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</si>
  <si>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</si>
  <si>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</si>
  <si>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</si>
  <si>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</si>
  <si>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</si>
  <si>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</si>
  <si>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</si>
  <si>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</si>
  <si>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</si>
  <si>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</si>
  <si>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</si>
  <si>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</si>
  <si>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</si>
  <si>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</si>
  <si>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</si>
  <si>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</si>
  <si>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</si>
  <si>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</si>
  <si>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</si>
  <si>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</si>
  <si>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</si>
  <si>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</si>
  <si>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</si>
  <si>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</si>
  <si>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</si>
  <si>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</si>
  <si>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</si>
  <si>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</si>
  <si>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</si>
  <si>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</si>
  <si>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</si>
  <si>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</si>
  <si>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</si>
  <si>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</si>
  <si>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</si>
  <si>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</si>
  <si>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</si>
  <si>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</si>
  <si>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</si>
  <si>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</si>
  <si>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</si>
  <si>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</si>
  <si>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</si>
  <si>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</si>
  <si>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</si>
  <si>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</si>
  <si>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</si>
  <si>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</si>
  <si>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</si>
  <si>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</si>
  <si>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</si>
  <si>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</si>
  <si>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</si>
  <si>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</si>
  <si>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</si>
  <si>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</si>
  <si>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</si>
  <si>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</si>
  <si>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</si>
  <si>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</si>
  <si>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</si>
  <si>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</si>
  <si>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</si>
  <si>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</si>
  <si>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</si>
  <si>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</si>
  <si>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</si>
  <si>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</si>
  <si>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</si>
  <si>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</si>
  <si>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</si>
  <si>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</si>
  <si>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</si>
  <si>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</si>
  <si>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</si>
  <si>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</si>
  <si>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</si>
  <si>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</si>
  <si>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</si>
  <si>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</si>
  <si>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</si>
  <si>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</si>
  <si>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</si>
  <si>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</si>
  <si>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</si>
  <si>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</si>
  <si>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</si>
  <si>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</si>
  <si>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</si>
  <si>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</si>
  <si>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</si>
  <si>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</si>
  <si>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</si>
  <si>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</si>
  <si>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</si>
  <si>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</si>
  <si>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</si>
  <si>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</si>
  <si>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</si>
  <si>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</si>
  <si>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</si>
  <si>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</si>
  <si>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</si>
  <si>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</si>
  <si>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</si>
  <si>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</si>
  <si>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</si>
  <si>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</si>
  <si>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</si>
  <si>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</si>
  <si>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</si>
  <si>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</si>
  <si>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</si>
  <si>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</si>
  <si>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</si>
  <si>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</si>
  <si>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</si>
  <si>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</si>
  <si>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</si>
  <si>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</si>
  <si>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</si>
  <si>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</si>
  <si>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</si>
  <si>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</si>
  <si>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</si>
  <si>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</si>
  <si>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</si>
  <si>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</si>
  <si>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</si>
  <si>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</si>
  <si>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</si>
  <si>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</si>
  <si>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</si>
  <si>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</si>
  <si>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</si>
  <si>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</si>
  <si>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</si>
  <si>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</si>
  <si>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</si>
  <si>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</si>
  <si>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</si>
  <si>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</si>
  <si>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</si>
  <si>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</si>
  <si>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</si>
  <si>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</si>
  <si>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</si>
  <si>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</si>
  <si>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</si>
  <si>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</si>
  <si>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</si>
  <si>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</si>
  <si>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</si>
  <si>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</si>
  <si>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</si>
  <si>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</si>
  <si>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</si>
  <si>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</si>
  <si>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</si>
  <si>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</si>
  <si>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</si>
  <si>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</si>
  <si>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</si>
  <si>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</si>
  <si>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</si>
  <si>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</si>
  <si>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</si>
  <si>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</si>
  <si>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</si>
  <si>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</si>
  <si>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</si>
  <si>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</si>
  <si>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</si>
  <si>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</si>
  <si>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</si>
  <si>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</si>
  <si>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</si>
  <si>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</si>
  <si>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</si>
  <si>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</si>
  <si>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</si>
  <si>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</si>
  <si>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</si>
  <si>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</si>
  <si>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</si>
  <si>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</si>
  <si>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</si>
  <si>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</si>
  <si>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</si>
  <si>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</si>
  <si>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</si>
  <si>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</si>
  <si>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</si>
  <si>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</si>
  <si>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</si>
  <si>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</si>
  <si>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</si>
  <si>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</si>
  <si>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</si>
  <si>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</si>
  <si>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</si>
  <si>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</si>
  <si>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</si>
  <si>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</si>
  <si>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</si>
  <si>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</si>
  <si>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</si>
  <si>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</si>
  <si>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</si>
  <si>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</si>
  <si>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</si>
  <si>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</si>
  <si>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</si>
  <si>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</si>
  <si>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</si>
  <si>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</si>
  <si>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</si>
  <si>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</si>
  <si>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</si>
  <si>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</si>
  <si>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</si>
  <si>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</si>
  <si>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</si>
  <si>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</si>
  <si>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</si>
  <si>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</si>
  <si>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</si>
  <si>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</si>
  <si>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</si>
  <si>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</si>
  <si>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</si>
  <si>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</si>
  <si>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</si>
  <si>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</si>
  <si>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</si>
  <si>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</si>
  <si>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</si>
  <si>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</si>
  <si>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</si>
  <si>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</si>
  <si>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</si>
  <si>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</si>
  <si>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</si>
  <si>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</si>
  <si>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</si>
  <si>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</si>
  <si>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</si>
  <si>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</si>
  <si>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</si>
  <si>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</si>
  <si>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</si>
  <si>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</si>
  <si>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</si>
  <si>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</si>
  <si>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</si>
  <si>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</si>
  <si>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</si>
  <si>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</si>
  <si>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</si>
  <si>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</si>
  <si>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</si>
  <si>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</si>
  <si>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</si>
  <si>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</si>
  <si>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</si>
  <si>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</si>
  <si>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</si>
  <si>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</si>
  <si>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</si>
  <si>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</si>
  <si>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</si>
  <si>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</si>
  <si>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</si>
  <si>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</si>
  <si>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</si>
  <si>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</si>
  <si>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</si>
  <si>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</si>
  <si>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</si>
  <si>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</si>
  <si>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</si>
  <si>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</si>
  <si>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</si>
  <si>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</si>
  <si>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</si>
  <si>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</si>
  <si>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</si>
  <si>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</si>
  <si>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</si>
  <si>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</si>
  <si>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</si>
  <si>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</si>
  <si>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</si>
  <si>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</si>
  <si>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</si>
  <si>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</si>
  <si>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</si>
  <si>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</si>
  <si>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</si>
  <si>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</si>
  <si>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</si>
  <si>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</si>
  <si>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</si>
  <si>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</si>
  <si>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</si>
  <si>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</si>
  <si>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</si>
  <si>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</si>
  <si>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</si>
  <si>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</si>
  <si>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</si>
  <si>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</si>
  <si>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</si>
  <si>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</si>
  <si>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</si>
  <si>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</si>
  <si>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</si>
  <si>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</si>
  <si>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</si>
  <si>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</si>
  <si>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</si>
  <si>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</si>
  <si>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</si>
  <si>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</si>
  <si>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</si>
  <si>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</si>
  <si>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</si>
  <si>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</si>
  <si>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</si>
  <si>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</si>
  <si>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</si>
  <si>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</si>
  <si>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</si>
  <si>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</si>
  <si>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</si>
  <si>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</si>
  <si>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</si>
  <si>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</si>
  <si>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</si>
  <si>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</si>
  <si>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</si>
  <si>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</si>
  <si>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</si>
  <si>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</si>
  <si>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</si>
  <si>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</si>
  <si>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</si>
  <si>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</si>
  <si>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</si>
  <si>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</si>
  <si>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</si>
  <si>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</si>
  <si>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</si>
  <si>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</si>
  <si>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</si>
  <si>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</si>
  <si>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</si>
  <si>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</si>
  <si>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</si>
  <si>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</si>
  <si>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</si>
  <si>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</si>
  <si>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</si>
  <si>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</si>
  <si>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</si>
  <si>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</si>
  <si>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</si>
  <si>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</si>
  <si>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</si>
  <si>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</si>
  <si>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</si>
  <si>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</si>
  <si>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</si>
  <si>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</si>
  <si>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</si>
  <si>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</si>
  <si>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</si>
  <si>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</si>
  <si>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</si>
  <si>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</si>
  <si>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</si>
  <si>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</si>
  <si>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</si>
  <si>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</si>
  <si>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</si>
  <si>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</si>
  <si>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</si>
  <si>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</si>
  <si>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</si>
  <si>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</si>
  <si>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</si>
  <si>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</si>
  <si>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</si>
  <si>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</si>
  <si>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</si>
  <si>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</si>
  <si>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</si>
  <si>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</si>
  <si>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</si>
  <si>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</si>
  <si>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</si>
  <si>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</si>
  <si>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</si>
  <si>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</si>
  <si>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</si>
  <si>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</si>
  <si>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</si>
  <si>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</si>
  <si>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</si>
  <si>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</si>
  <si>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</si>
  <si>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</si>
  <si>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</si>
  <si>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</si>
  <si>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</si>
  <si>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</si>
  <si>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</si>
  <si>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</si>
  <si>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</si>
  <si>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</si>
  <si>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</si>
  <si>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</si>
  <si>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</si>
  <si>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</si>
  <si>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</si>
  <si>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</si>
  <si>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</si>
  <si>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</si>
  <si>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</si>
  <si>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</si>
  <si>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</si>
  <si>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</si>
  <si>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</si>
  <si>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</si>
  <si>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</si>
  <si>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</si>
  <si>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</si>
  <si>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</si>
  <si>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</si>
  <si>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</si>
  <si>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</si>
  <si>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</si>
  <si>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</si>
  <si>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</si>
  <si>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</si>
  <si>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</si>
  <si>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</si>
  <si>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</si>
  <si>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</si>
  <si>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</si>
  <si>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</si>
  <si>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</si>
  <si>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</si>
  <si>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</si>
  <si>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</si>
  <si>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</si>
  <si>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</si>
  <si>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</si>
  <si>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</si>
  <si>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</si>
  <si>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</si>
  <si>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</si>
  <si>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</si>
  <si>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</si>
  <si>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</si>
  <si>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</si>
  <si>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</si>
  <si>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</si>
  <si>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</si>
  <si>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</si>
  <si>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</si>
  <si>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</si>
  <si>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</si>
  <si>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</si>
  <si>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</si>
  <si>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</si>
  <si>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</si>
  <si>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</si>
  <si>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</si>
  <si>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</si>
  <si>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</si>
  <si>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</si>
  <si>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</si>
  <si>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</si>
  <si>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</si>
  <si>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</si>
  <si>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</si>
  <si>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</si>
  <si>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</si>
  <si>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</si>
  <si>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</si>
  <si>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</si>
  <si>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</si>
  <si>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</si>
  <si>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</si>
  <si>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</si>
  <si>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</si>
  <si>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</si>
  <si>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</si>
  <si>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</si>
  <si>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</si>
  <si>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</si>
  <si>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</si>
  <si>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</si>
  <si>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</si>
  <si>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</si>
  <si>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</si>
  <si>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</si>
  <si>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</si>
  <si>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</si>
  <si>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</si>
  <si>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</si>
  <si>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</si>
  <si>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</si>
  <si>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</si>
  <si>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</si>
  <si>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</si>
  <si>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</si>
  <si>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</si>
  <si>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</si>
  <si>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</si>
  <si>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</si>
  <si>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</si>
  <si>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</si>
  <si>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</si>
  <si>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</si>
  <si>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</si>
  <si>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</si>
  <si>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</si>
  <si>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</si>
  <si>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</si>
  <si>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</si>
  <si>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</si>
  <si>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</si>
  <si>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</si>
  <si>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</si>
  <si>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</si>
  <si>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</si>
  <si>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</si>
  <si>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</si>
  <si>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</si>
  <si>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</si>
  <si>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</si>
  <si>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</si>
  <si>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</si>
  <si>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</si>
  <si>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</si>
  <si>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</si>
  <si>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</si>
  <si>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</si>
  <si>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</si>
  <si>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</si>
  <si>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</si>
  <si>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</si>
  <si>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</si>
  <si>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</si>
  <si>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</si>
  <si>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</si>
  <si>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</si>
  <si>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</si>
  <si>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</si>
  <si>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</si>
  <si>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</si>
  <si>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</si>
  <si>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</si>
  <si>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</si>
  <si>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</si>
  <si>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</si>
  <si>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</si>
  <si>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</si>
  <si>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</si>
  <si>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</si>
  <si>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</si>
  <si>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</si>
  <si>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</si>
  <si>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</si>
  <si>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</si>
  <si>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</si>
  <si>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</si>
  <si>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</si>
  <si>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</si>
  <si>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</si>
  <si>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</si>
  <si>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</si>
  <si>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</si>
  <si>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</si>
  <si>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</si>
  <si>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</si>
  <si>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</si>
  <si>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</si>
  <si>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</si>
  <si>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</si>
  <si>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</si>
  <si>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</si>
  <si>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</si>
  <si>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</si>
  <si>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</si>
  <si>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</si>
  <si>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</si>
  <si>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</si>
  <si>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</si>
  <si>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</si>
  <si>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</si>
  <si>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</si>
  <si>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</si>
  <si>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</si>
  <si>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</si>
  <si>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</si>
  <si>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</si>
  <si>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</si>
  <si>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</si>
  <si>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</si>
  <si>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</si>
  <si>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</si>
  <si>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</si>
  <si>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</si>
  <si>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</si>
  <si>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</si>
  <si>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Overall Churn Rate</t>
  </si>
  <si>
    <t>Total Customers</t>
  </si>
  <si>
    <t>Churned Customers</t>
  </si>
  <si>
    <t>Churn Rate</t>
  </si>
  <si>
    <t>Churned</t>
  </si>
  <si>
    <t>Churn by Contract Type</t>
  </si>
  <si>
    <t>Churn by Internet Service</t>
  </si>
  <si>
    <t>Internet Service</t>
  </si>
  <si>
    <t>Churn by Payment Method</t>
  </si>
  <si>
    <t>Payment Method</t>
  </si>
  <si>
    <t>Churn by Tenure</t>
  </si>
  <si>
    <t>Tenure Group</t>
  </si>
  <si>
    <t>0–12 Months</t>
  </si>
  <si>
    <t>13–24 Months</t>
  </si>
  <si>
    <t>25–48 Months</t>
  </si>
  <si>
    <t>49+ Months</t>
  </si>
  <si>
    <t>Average Tenure by Churn Status</t>
  </si>
  <si>
    <t>Churn Status</t>
  </si>
  <si>
    <t>Average Tenure (Months)</t>
  </si>
  <si>
    <t>Retained</t>
  </si>
  <si>
    <t>Average Monthly Charges by Churn Status</t>
  </si>
  <si>
    <t>Average Monthly Charges</t>
  </si>
  <si>
    <t>CUSTOMER RETENTION &amp; CHURN ANALYSIS</t>
  </si>
  <si>
    <t>TOTAL CUSTOMERS</t>
  </si>
  <si>
    <t>CHURNED CUSTOMERS</t>
  </si>
  <si>
    <t>CHURN RATE</t>
  </si>
  <si>
    <t>RETENTION RATE</t>
  </si>
  <si>
    <t>Customer Status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</si>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</sst>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Bold"/>
    </font>
    <font>
      <sz val="20"/>
      <color theme="1"/>
      <name val="Bold"/>
    </font>
    <font>
      <sz val="14"/>
      <color theme="1"/>
      <name val="Bold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9" fontId="0" fillId="0" borderId="0" xfId="1" applyFon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2" fontId="0" fillId="0" borderId="0" xfId="0" applyNumberFormat="1"/>
    <xf numFmtId="0" fontId="19" fillId="0" borderId="0" xfId="0" applyFont="1"/>
    <xf numFmtId="0" fontId="20" fillId="0" borderId="0" xfId="0" applyFont="1"/>
    <xf numFmtId="0" fontId="21" fillId="33" borderId="0" xfId="0" applyFont="1" applyFill="1"/>
    <xf numFmtId="0" fontId="21" fillId="34" borderId="0" xfId="0" applyFont="1" applyFill="1"/>
    <xf numFmtId="0" fontId="21" fillId="35" borderId="0" xfId="0" applyFont="1" applyFill="1"/>
    <xf numFmtId="0" fontId="21" fillId="36" borderId="0" xfId="0" applyFont="1" applyFill="1"/>
    <xf numFmtId="9" fontId="19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Customers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Dashboard!$B$22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Dashboard!$A$23:$A$25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Dashboard!$B$23:$B$25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D-4D97-B55D-8FE0A77997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70929072"/>
        <c:axId val="384843472"/>
      </c:barChart>
      <c:catAx>
        <c:axId val="77092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43472"/>
        <c:crosses val="autoZero"/>
        <c:auto val="1"/>
        <c:lblAlgn val="ctr"/>
        <c:lblOffset val="100"/>
        <c:noMultiLvlLbl val="0"/>
      </c:catAx>
      <c:valAx>
        <c:axId val="38484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2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Dashboard!$B$37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Dashboard!$A$38:$A$40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Dashboard!$B$38:$B$40</c:f>
              <c:numCache>
                <c:formatCode>General</c:formatCode>
                <c:ptCount val="3"/>
                <c:pt idx="0">
                  <c:v>43</c:v>
                </c:pt>
                <c:pt idx="1">
                  <c:v>11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0-433F-A911-35F9F24322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0928144"/>
        <c:axId val="384857872"/>
      </c:barChart>
      <c:catAx>
        <c:axId val="7709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57872"/>
        <c:crosses val="autoZero"/>
        <c:auto val="1"/>
        <c:lblAlgn val="ctr"/>
        <c:lblOffset val="100"/>
        <c:noMultiLvlLbl val="0"/>
      </c:catAx>
      <c:valAx>
        <c:axId val="3848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2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Customers by Internet Service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Dashboard!$B$53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Dashboard!$A$54:$A$56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Dashboard!$B$54:$B$56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4-4267-8224-0CDF016A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3794848"/>
        <c:axId val="370038832"/>
      </c:barChart>
      <c:catAx>
        <c:axId val="78379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038832"/>
        <c:crosses val="autoZero"/>
        <c:auto val="1"/>
        <c:lblAlgn val="ctr"/>
        <c:lblOffset val="100"/>
        <c:noMultiLvlLbl val="0"/>
      </c:catAx>
      <c:valAx>
        <c:axId val="37003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9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Customers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Dashboard!$B$69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Dashboard!$A$70:$A$73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Dashboard!$B$70:$B$73</c:f>
              <c:numCache>
                <c:formatCode>General</c:formatCode>
                <c:ptCount val="4"/>
                <c:pt idx="0">
                  <c:v>1071</c:v>
                </c:pt>
                <c:pt idx="1">
                  <c:v>308</c:v>
                </c:pt>
                <c:pt idx="2">
                  <c:v>258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1-40B6-A67E-1422B91634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8799616"/>
        <c:axId val="384917392"/>
      </c:barChart>
      <c:catAx>
        <c:axId val="76879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17392"/>
        <c:crosses val="autoZero"/>
        <c:auto val="1"/>
        <c:lblAlgn val="ctr"/>
        <c:lblOffset val="100"/>
        <c:noMultiLvlLbl val="0"/>
      </c:catAx>
      <c:valAx>
        <c:axId val="3849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9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vs Retention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Dashboard!$B$86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F3-4C79-B48C-9FC3AE6D26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F3-4C79-B48C-9FC3AE6D2696}"/>
              </c:ext>
            </c:extLst>
          </c:dPt>
          <c:dLbls>
            <c:dLbl>
              <c:idx val="0"/>
              <c:layout>
                <c:manualLayout>
                  <c:x val="6.3888888888888884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F3-4C79-B48C-9FC3AE6D2696}"/>
                </c:ext>
              </c:extLst>
            </c:dLbl>
            <c:dLbl>
              <c:idx val="1"/>
              <c:layout>
                <c:manualLayout>
                  <c:x val="-9.166666666666666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F3-4C79-B48C-9FC3AE6D26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Dashboard!$A$87:$A$88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Dashboard!$B$87:$B$88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3-4C79-B48C-9FC3AE6D26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5</xdr:row>
      <xdr:rowOff>0</xdr:rowOff>
    </xdr:from>
    <xdr:to>
      <xdr:col>6</xdr:col>
      <xdr:colOff>739140</xdr:colOff>
      <xdr:row>19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7BBFF7-747B-DEB0-5C5D-A681C2EC7692}"/>
            </a:ext>
          </a:extLst>
        </xdr:cNvPr>
        <xdr:cNvSpPr txBox="1"/>
      </xdr:nvSpPr>
      <xdr:spPr>
        <a:xfrm>
          <a:off x="4328160" y="1082040"/>
          <a:ext cx="4442460" cy="2735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KEY INSIGHTS</a:t>
          </a:r>
        </a:p>
        <a:p>
          <a:endParaRPr lang="en-IN"/>
        </a:p>
        <a:p>
          <a:r>
            <a:rPr lang="en-IN"/>
            <a:t>• Month-to-month customers have the highest churn rate at 43%.</a:t>
          </a:r>
          <a:br>
            <a:rPr lang="en-IN"/>
          </a:br>
          <a:r>
            <a:rPr lang="en-IN"/>
            <a:t>• Fiber optic customers have a high churn rate of 42%.</a:t>
          </a:r>
          <a:br>
            <a:rPr lang="en-IN"/>
          </a:br>
          <a:r>
            <a:rPr lang="en-IN"/>
            <a:t>• Electronic check users have the highest churn rate at 45%.</a:t>
          </a:r>
          <a:br>
            <a:rPr lang="en-IN"/>
          </a:br>
          <a:r>
            <a:rPr lang="en-IN"/>
            <a:t>• More than half of churned customers left within their first 12 months.</a:t>
          </a:r>
          <a:br>
            <a:rPr lang="en-IN"/>
          </a:br>
          <a:r>
            <a:rPr lang="en-IN"/>
            <a:t>• Churned customers have lower average tenure than retained customers.</a:t>
          </a:r>
        </a:p>
        <a:p>
          <a:endParaRPr lang="en-IN"/>
        </a:p>
        <a:p>
          <a:r>
            <a:rPr lang="en-IN" b="1"/>
            <a:t>RECOMMENDATIONS</a:t>
          </a:r>
        </a:p>
        <a:p>
          <a:endParaRPr lang="en-IN"/>
        </a:p>
        <a:p>
          <a:r>
            <a:rPr lang="en-IN"/>
            <a:t>• Encourage month-to-month customers to move to longer-term plans.</a:t>
          </a:r>
          <a:br>
            <a:rPr lang="en-IN"/>
          </a:br>
          <a:r>
            <a:rPr lang="en-IN"/>
            <a:t>• Investigate service issues and pricing for fiber optic customers.</a:t>
          </a:r>
          <a:br>
            <a:rPr lang="en-IN"/>
          </a:br>
          <a:r>
            <a:rPr lang="en-IN"/>
            <a:t>• Encourage customers to use automatic payment methods.</a:t>
          </a:r>
          <a:br>
            <a:rPr lang="en-IN"/>
          </a:br>
          <a:r>
            <a:rPr lang="en-IN"/>
            <a:t>• Focus retention efforts on customers during their first year.</a:t>
          </a:r>
          <a:br>
            <a:rPr lang="en-IN"/>
          </a:br>
          <a:r>
            <a:rPr lang="en-IN"/>
            <a:t>• Review pricing and value for customers with higher monthly charges.</a:t>
          </a:r>
        </a:p>
        <a:p>
          <a:endParaRPr lang="en-IN" sz="1100"/>
        </a:p>
      </xdr:txBody>
    </xdr:sp>
    <xdr:clientData/>
  </xdr:twoCellAnchor>
  <xdr:twoCellAnchor>
    <xdr:from>
      <xdr:col>2</xdr:col>
      <xdr:colOff>137160</xdr:colOff>
      <xdr:row>21</xdr:row>
      <xdr:rowOff>19050</xdr:rowOff>
    </xdr:from>
    <xdr:to>
      <xdr:col>7</xdr:col>
      <xdr:colOff>259080</xdr:colOff>
      <xdr:row>35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8EDA86-497A-3A05-42AF-B041EB06F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190500</xdr:colOff>
      <xdr:row>36</xdr:row>
      <xdr:rowOff>11430</xdr:rowOff>
    </xdr:from>
    <xdr:to>
      <xdr:col>7</xdr:col>
      <xdr:colOff>312420</xdr:colOff>
      <xdr:row>51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8E0641-FE57-6A20-E5D5-5DCF51891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60960</xdr:colOff>
      <xdr:row>52</xdr:row>
      <xdr:rowOff>3810</xdr:rowOff>
    </xdr:from>
    <xdr:to>
      <xdr:col>7</xdr:col>
      <xdr:colOff>182880</xdr:colOff>
      <xdr:row>67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020D6E-ED1A-F9B9-331C-005D2EA90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99060</xdr:colOff>
      <xdr:row>67</xdr:row>
      <xdr:rowOff>148590</xdr:rowOff>
    </xdr:from>
    <xdr:to>
      <xdr:col>7</xdr:col>
      <xdr:colOff>220980</xdr:colOff>
      <xdr:row>82</xdr:row>
      <xdr:rowOff>148590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73FE46D-0256-9337-81DC-6F7346A85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121920</xdr:colOff>
      <xdr:row>84</xdr:row>
      <xdr:rowOff>87630</xdr:rowOff>
    </xdr:from>
    <xdr:to>
      <xdr:col>7</xdr:col>
      <xdr:colOff>243840</xdr:colOff>
      <xdr:row>99</xdr:row>
      <xdr:rowOff>87630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75A215-A876-BCB1-652A-946516292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F3C7B-55AF-4F86-98BA-F7F677EC8020}" name="Table1" displayName="Table1" ref="A1:U7044" totalsRowShown="0">
  <autoFilter ref="A1:U7044" xr:uid="{C5DF3C7B-55AF-4F86-98BA-F7F677EC8020}"/>
  <tableColumns count="21">
    <tableColumn id="1" xr3:uid="{3B227F39-737C-4F08-BFDD-48910FB5EB64}" name="customerID"/>
    <tableColumn id="2" xr3:uid="{53FE141C-E244-4395-B45D-E220E30172F2}" name="gender"/>
    <tableColumn id="3" xr3:uid="{5EC2618E-B80B-41B9-BD34-92430EE338E0}" name="SeniorCitizen"/>
    <tableColumn id="4" xr3:uid="{638FAAAC-F96D-4A1C-A568-0E9CBFEB9F20}" name="Partner"/>
    <tableColumn id="5" xr3:uid="{05EFCD8A-A0FF-4E0D-B1D8-1EBB6FEF1202}" name="Dependents"/>
    <tableColumn id="6" xr3:uid="{CF029A50-2989-4AC5-81DF-316B732E19D5}" name="tenure"/>
    <tableColumn id="7" xr3:uid="{A18C377F-8388-41E0-BD90-17B8EF475D60}" name="PhoneService"/>
    <tableColumn id="8" xr3:uid="{A58CD2EC-8394-45F6-BDBB-FB5056220A25}" name="MultipleLines"/>
    <tableColumn id="9" xr3:uid="{39EBFE40-C859-4B5C-91B4-D24140D8ED60}" name="InternetService"/>
    <tableColumn id="10" xr3:uid="{9652803B-6D03-4E88-8B91-4361400EE82A}" name="OnlineSecurity"/>
    <tableColumn id="11" xr3:uid="{61895768-C362-47F1-85BD-B41068C7160D}" name="OnlineBackup"/>
    <tableColumn id="12" xr3:uid="{687DDF9A-21BC-4AD1-8A34-1716E02D60E2}" name="DeviceProtection"/>
    <tableColumn id="13" xr3:uid="{1BAFD58A-DAD6-4025-B069-419DFE762F0F}" name="TechSupport"/>
    <tableColumn id="14" xr3:uid="{B6CE24AC-A859-4B47-A61E-9F0817EDA9A4}" name="StreamingTV"/>
    <tableColumn id="15" xr3:uid="{643A6DEF-E592-44C7-B835-81084CDE92AD}" name="StreamingMovies"/>
    <tableColumn id="16" xr3:uid="{DE2824D7-B242-462B-BEF6-B083DA385CCF}" name="Contract"/>
    <tableColumn id="17" xr3:uid="{15D02292-555F-448E-A079-3F0C953A7774}" name="PaperlessBilling"/>
    <tableColumn id="18" xr3:uid="{87F5BDE0-F0C9-4609-84DC-58B0E9D3761F}" name="PaymentMethod"/>
    <tableColumn id="19" xr3:uid="{CFB335CE-32EA-499B-B32C-3E26F4BE69DA}" name="MonthlyCharges"/>
    <tableColumn id="20" xr3:uid="{B236C226-F148-4CF8-92C1-941F7A470C43}" name="TotalCharges"/>
    <tableColumn id="21" xr3:uid="{D32E0C82-1CD2-4C9F-B03F-A74D47F303B4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813D-2BB0-480C-8865-1B75A9364B88}">
  <dimension ref="A1:U7044"/>
  <sheetViews>
    <sheetView workbookViewId="0">
      <selection activeCell="T2" sqref="T2"/>
    </sheetView>
  </sheetViews>
  <sheetFormatPr defaultRowHeight="14.4"/>
  <cols>
    <col min="1" max="1" width="12.5546875" customWidth="1"/>
    <col min="3" max="3" width="14.109375" customWidth="1"/>
    <col min="4" max="4" width="9" customWidth="1"/>
    <col min="5" max="5" width="12.88671875" customWidth="1"/>
    <col min="7" max="7" width="14.21875" customWidth="1"/>
    <col min="8" max="8" width="14.109375" customWidth="1"/>
    <col min="9" max="9" width="15.6640625" customWidth="1"/>
    <col min="10" max="10" width="15.21875" customWidth="1"/>
    <col min="11" max="11" width="14.5546875" customWidth="1"/>
    <col min="12" max="12" width="17.21875" customWidth="1"/>
    <col min="13" max="14" width="13.44140625" customWidth="1"/>
    <col min="15" max="15" width="17.21875" customWidth="1"/>
    <col min="16" max="16" width="10.109375" customWidth="1"/>
    <col min="17" max="17" width="16.33203125" customWidth="1"/>
    <col min="18" max="18" width="16.44140625" customWidth="1"/>
    <col min="19" max="19" width="16.109375" customWidth="1"/>
    <col min="20" max="20" width="13.6640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6F39-E15B-4EF8-A53C-1F3F6D0FDA7F}">
  <dimension ref="A1:C41"/>
  <sheetViews>
    <sheetView topLeftCell="A3" workbookViewId="0">
      <selection activeCell="H19" sqref="H19"/>
    </sheetView>
  </sheetViews>
  <sheetFormatPr defaultRowHeight="14.4"/>
  <cols>
    <col min="1" max="1" width="34.44140625" customWidth="1"/>
    <col min="2" max="2" width="21" customWidth="1"/>
    <col min="3" max="3" width="10.88671875" customWidth="1"/>
  </cols>
  <sheetData>
    <row r="1" spans="1:3">
      <c r="A1" t="s">
        <v>7080</v>
      </c>
    </row>
    <row r="2" spans="1:3">
      <c r="A2" s="1">
        <f>COUNTIF(Table1[Churn],"Yes")/COUNTA(Table1[Churn])</f>
        <v>0.26536987079369589</v>
      </c>
    </row>
    <row r="4" spans="1:3">
      <c r="A4" t="s">
        <v>7081</v>
      </c>
      <c r="B4" s="4">
        <f>COUNTA(Table1[customerID])</f>
        <v>7043</v>
      </c>
    </row>
    <row r="5" spans="1:3">
      <c r="A5" s="2" t="s">
        <v>7082</v>
      </c>
      <c r="B5" s="4">
        <f>COUNTIF(Table1[Churn],"Yes")</f>
        <v>1869</v>
      </c>
    </row>
    <row r="7" spans="1:3">
      <c r="A7" t="s">
        <v>7085</v>
      </c>
    </row>
    <row r="8" spans="1:3">
      <c r="A8" t="s">
        <v>15</v>
      </c>
      <c r="B8" t="s">
        <v>7082</v>
      </c>
      <c r="C8" t="s">
        <v>7083</v>
      </c>
    </row>
    <row r="9" spans="1:3">
      <c r="A9" t="s">
        <v>27</v>
      </c>
      <c r="B9">
        <f>COUNTIFS(Table1[Contract],A9,Table1[Churn],"Yes")</f>
        <v>1655</v>
      </c>
      <c r="C9" s="1">
        <f>B9/COUNTIF(Table1[Contract],A9)</f>
        <v>0.42709677419354841</v>
      </c>
    </row>
    <row r="10" spans="1:3">
      <c r="A10" t="s">
        <v>31</v>
      </c>
      <c r="B10">
        <f>COUNTIFS(Table1[Contract],A10,Table1[Churn],"Yes")</f>
        <v>166</v>
      </c>
      <c r="C10" s="1">
        <f>B10/COUNTIF(Table1[Contract],A10)</f>
        <v>0.11269517990495587</v>
      </c>
    </row>
    <row r="11" spans="1:3">
      <c r="A11" t="s">
        <v>47</v>
      </c>
      <c r="B11">
        <f>COUNTIFS(Table1[Contract],A11,Table1[Churn],"Yes")</f>
        <v>48</v>
      </c>
      <c r="C11" s="1">
        <f>B11/COUNTIF(Table1[Contract],A11)</f>
        <v>2.831858407079646E-2</v>
      </c>
    </row>
    <row r="13" spans="1:3">
      <c r="A13" s="3" t="s">
        <v>7086</v>
      </c>
    </row>
    <row r="14" spans="1:3">
      <c r="A14" t="s">
        <v>7087</v>
      </c>
      <c r="B14" t="s">
        <v>7082</v>
      </c>
      <c r="C14" t="s">
        <v>7083</v>
      </c>
    </row>
    <row r="15" spans="1:3">
      <c r="A15" t="s">
        <v>26</v>
      </c>
      <c r="B15">
        <f>COUNTIFS(Table1[InternetService],A15,Table1[Churn],"Yes")</f>
        <v>459</v>
      </c>
      <c r="C15" s="1">
        <f>B15/COUNTIF(Table1[InternetService],A15)</f>
        <v>0.1895910780669145</v>
      </c>
    </row>
    <row r="16" spans="1:3">
      <c r="A16" t="s">
        <v>37</v>
      </c>
      <c r="B16">
        <f>COUNTIFS(Table1[InternetService],A16,Table1[Churn],"Yes")</f>
        <v>1297</v>
      </c>
      <c r="C16" s="1">
        <f>B16/COUNTIF(Table1[InternetService],A16)</f>
        <v>0.41892764857881137</v>
      </c>
    </row>
    <row r="17" spans="1:3">
      <c r="A17" t="s">
        <v>24</v>
      </c>
      <c r="B17">
        <f>COUNTIFS(Table1[InternetService],A17,Table1[Churn],"Yes")</f>
        <v>113</v>
      </c>
      <c r="C17" s="1">
        <f>B17/COUNTIF(Table1[InternetService],A17)</f>
        <v>7.4049803407601575E-2</v>
      </c>
    </row>
    <row r="19" spans="1:3">
      <c r="A19" t="s">
        <v>7088</v>
      </c>
    </row>
    <row r="20" spans="1:3">
      <c r="A20" t="s">
        <v>7089</v>
      </c>
      <c r="B20" t="s">
        <v>7082</v>
      </c>
      <c r="C20" t="s">
        <v>7083</v>
      </c>
    </row>
    <row r="21" spans="1:3">
      <c r="A21" t="s">
        <v>28</v>
      </c>
      <c r="B21">
        <f>COUNTIFS(Table1[PaymentMethod],A21,Table1[Churn],"Yes")</f>
        <v>1071</v>
      </c>
      <c r="C21" s="1">
        <f>B21/COUNTIF(Table1[PaymentMethod],A21)</f>
        <v>0.45285412262156449</v>
      </c>
    </row>
    <row r="22" spans="1:3">
      <c r="A22" t="s">
        <v>32</v>
      </c>
      <c r="B22">
        <f>COUNTIFS(Table1[PaymentMethod],A22,Table1[Churn],"Yes")</f>
        <v>308</v>
      </c>
      <c r="C22" s="1">
        <f>B22/COUNTIF(Table1[PaymentMethod],A22)</f>
        <v>0.19106699751861042</v>
      </c>
    </row>
    <row r="23" spans="1:3">
      <c r="A23" t="s">
        <v>35</v>
      </c>
      <c r="B23">
        <f>COUNTIFS(Table1[PaymentMethod],A23,Table1[Churn],"Yes")</f>
        <v>258</v>
      </c>
      <c r="C23" s="1">
        <f>B23/COUNTIF(Table1[PaymentMethod],A23)</f>
        <v>0.16709844559585493</v>
      </c>
    </row>
    <row r="24" spans="1:3">
      <c r="A24" t="s">
        <v>40</v>
      </c>
      <c r="B24">
        <f>COUNTIFS(Table1[PaymentMethod],A24,Table1[Churn],"Yes")</f>
        <v>232</v>
      </c>
      <c r="C24" s="1">
        <f>B24/COUNTIF(Table1[PaymentMethod],A24)</f>
        <v>0.15243101182654403</v>
      </c>
    </row>
    <row r="26" spans="1:3">
      <c r="A26" t="s">
        <v>7090</v>
      </c>
    </row>
    <row r="27" spans="1:3">
      <c r="A27" t="s">
        <v>7091</v>
      </c>
      <c r="B27" t="s">
        <v>7082</v>
      </c>
    </row>
    <row r="28" spans="1:3">
      <c r="A28" s="2" t="s">
        <v>7092</v>
      </c>
      <c r="B28">
        <f>COUNTIFS(Table1[tenure],"&gt;=0",Table1[tenure],"&lt;=12",Table1[Churn],"Yes")</f>
        <v>1037</v>
      </c>
    </row>
    <row r="29" spans="1:3">
      <c r="A29" s="2" t="s">
        <v>7093</v>
      </c>
      <c r="B29">
        <f>COUNTIFS(Table1[tenure],"&gt;=13",Table1[tenure],"&lt;=24",Table1[Churn],"Yes")</f>
        <v>294</v>
      </c>
    </row>
    <row r="30" spans="1:3">
      <c r="A30" t="s">
        <v>7094</v>
      </c>
      <c r="B30">
        <f>COUNTIFS(Table1[tenure],"&gt;=25",Table1[tenure],"&lt;=48",Table1[Churn],"Yes")</f>
        <v>325</v>
      </c>
    </row>
    <row r="31" spans="1:3">
      <c r="A31" t="s">
        <v>7095</v>
      </c>
      <c r="B31">
        <f>COUNTIFS(Table1[tenure],"&gt;=49",Table1[Churn],"Yes")</f>
        <v>213</v>
      </c>
    </row>
    <row r="33" spans="1:2">
      <c r="A33" t="s">
        <v>7096</v>
      </c>
    </row>
    <row r="34" spans="1:2">
      <c r="A34" t="s">
        <v>7097</v>
      </c>
      <c r="B34" t="s">
        <v>7098</v>
      </c>
    </row>
    <row r="35" spans="1:2">
      <c r="A35" t="s">
        <v>7084</v>
      </c>
      <c r="B35" s="5">
        <f>AVERAGEIF(Table1[Churn],"Yes",Table1[tenure])</f>
        <v>17.979133226324237</v>
      </c>
    </row>
    <row r="36" spans="1:2">
      <c r="A36" t="s">
        <v>7099</v>
      </c>
      <c r="B36" s="5">
        <f>AVERAGEIF(Table1[Churn],"No",Table1[tenure])</f>
        <v>37.569965210668727</v>
      </c>
    </row>
    <row r="38" spans="1:2">
      <c r="A38" t="s">
        <v>7100</v>
      </c>
    </row>
    <row r="39" spans="1:2">
      <c r="A39" t="s">
        <v>7097</v>
      </c>
      <c r="B39" t="s">
        <v>7101</v>
      </c>
    </row>
    <row r="40" spans="1:2">
      <c r="A40" t="s">
        <v>7084</v>
      </c>
      <c r="B40" s="5">
        <f>AVERAGEIF(Table1[Churn],"Yes",Table1[MonthlyCharges])</f>
        <v>74.441332263242302</v>
      </c>
    </row>
    <row r="41" spans="1:2">
      <c r="A41" t="s">
        <v>7099</v>
      </c>
      <c r="B41" s="5">
        <f>AVERAGEIF(Table1[Churn],"No",Table1[MonthlyCharges])</f>
        <v>61.2651236953999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6DD1-C791-4B81-AA8E-0836071DA102}">
  <dimension ref="A1:G88"/>
  <sheetViews>
    <sheetView tabSelected="1" workbookViewId="0">
      <selection activeCell="G4" sqref="G4"/>
    </sheetView>
  </sheetViews>
  <sheetFormatPr defaultRowHeight="14.4"/>
  <cols>
    <col min="1" max="1" width="26.109375" customWidth="1"/>
    <col min="2" max="2" width="22.5546875" customWidth="1"/>
    <col min="3" max="3" width="31" customWidth="1"/>
    <col min="4" max="4" width="10.77734375" customWidth="1"/>
    <col min="5" max="5" width="17.77734375" customWidth="1"/>
    <col min="7" max="7" width="23.88671875" customWidth="1"/>
    <col min="10" max="10" width="35.6640625" customWidth="1"/>
  </cols>
  <sheetData>
    <row r="1" spans="1:7" ht="24.6">
      <c r="C1" s="7" t="s">
        <v>7102</v>
      </c>
    </row>
    <row r="3" spans="1:7" ht="17.399999999999999">
      <c r="A3" s="8" t="s">
        <v>7103</v>
      </c>
      <c r="C3" s="9" t="s">
        <v>7104</v>
      </c>
      <c r="E3" s="10" t="s">
        <v>7105</v>
      </c>
      <c r="G3" s="11" t="s">
        <v>7106</v>
      </c>
    </row>
    <row r="4" spans="1:7">
      <c r="A4" s="6">
        <v>7043</v>
      </c>
      <c r="C4" s="6">
        <v>1869</v>
      </c>
      <c r="E4" s="12">
        <v>0.27</v>
      </c>
      <c r="G4" s="12">
        <v>0.73</v>
      </c>
    </row>
    <row r="22" spans="1:2" ht="28.8">
      <c r="A22" s="2" t="s">
        <v>15</v>
      </c>
      <c r="B22" s="2" t="s">
        <v>7082</v>
      </c>
    </row>
    <row r="23" spans="1:2">
      <c r="A23" s="2" t="s">
        <v>27</v>
      </c>
      <c r="B23" s="2">
        <v>1655</v>
      </c>
    </row>
    <row r="24" spans="1:2">
      <c r="A24" s="2" t="s">
        <v>31</v>
      </c>
      <c r="B24" s="2">
        <v>166</v>
      </c>
    </row>
    <row r="25" spans="1:2">
      <c r="A25" s="2" t="s">
        <v>47</v>
      </c>
      <c r="B25" s="2">
        <v>48</v>
      </c>
    </row>
    <row r="37" spans="1:2">
      <c r="A37" s="2" t="s">
        <v>15</v>
      </c>
      <c r="B37" s="2" t="s">
        <v>7083</v>
      </c>
    </row>
    <row r="38" spans="1:2">
      <c r="A38" s="2" t="s">
        <v>27</v>
      </c>
      <c r="B38" s="2">
        <v>43</v>
      </c>
    </row>
    <row r="39" spans="1:2">
      <c r="A39" s="2" t="s">
        <v>31</v>
      </c>
      <c r="B39" s="2">
        <v>11</v>
      </c>
    </row>
    <row r="40" spans="1:2">
      <c r="A40" s="2" t="s">
        <v>47</v>
      </c>
      <c r="B40" s="2">
        <v>3</v>
      </c>
    </row>
    <row r="53" spans="1:2">
      <c r="A53" s="2" t="s">
        <v>7087</v>
      </c>
      <c r="B53" s="2" t="s">
        <v>7082</v>
      </c>
    </row>
    <row r="54" spans="1:2">
      <c r="A54" s="2" t="s">
        <v>26</v>
      </c>
      <c r="B54" s="2">
        <v>459</v>
      </c>
    </row>
    <row r="55" spans="1:2">
      <c r="A55" s="2" t="s">
        <v>37</v>
      </c>
      <c r="B55" s="2">
        <v>1297</v>
      </c>
    </row>
    <row r="56" spans="1:2">
      <c r="A56" s="2" t="s">
        <v>24</v>
      </c>
      <c r="B56" s="2">
        <v>113</v>
      </c>
    </row>
    <row r="69" spans="1:2">
      <c r="A69" t="s">
        <v>7089</v>
      </c>
      <c r="B69" s="2" t="s">
        <v>7082</v>
      </c>
    </row>
    <row r="70" spans="1:2">
      <c r="A70" s="2" t="s">
        <v>28</v>
      </c>
      <c r="B70" s="2">
        <v>1071</v>
      </c>
    </row>
    <row r="71" spans="1:2">
      <c r="A71" s="2" t="s">
        <v>32</v>
      </c>
      <c r="B71" s="2">
        <v>308</v>
      </c>
    </row>
    <row r="72" spans="1:2">
      <c r="A72" s="2" t="s">
        <v>35</v>
      </c>
      <c r="B72" s="2">
        <v>258</v>
      </c>
    </row>
    <row r="73" spans="1:2">
      <c r="A73" s="2" t="s">
        <v>40</v>
      </c>
      <c r="B73" s="2">
        <v>232</v>
      </c>
    </row>
    <row r="86" spans="1:2">
      <c r="A86" s="2" t="s">
        <v>7107</v>
      </c>
      <c r="B86" s="2" t="s">
        <v>7108</v>
      </c>
    </row>
    <row r="87" spans="1:2">
      <c r="A87" s="2" t="s">
        <v>7084</v>
      </c>
      <c r="B87" s="2">
        <v>1869</v>
      </c>
    </row>
    <row r="88" spans="1:2">
      <c r="A88" s="2" t="s">
        <v>7099</v>
      </c>
      <c r="B88" s="2">
        <v>5174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WA_Fn-UseC_-Telco-Customer-Chur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kristam jishitha</dc:creator>
  <cp:lastModifiedBy>kristam jishitha</cp:lastModifiedBy>
  <dcterms:created xsi:type="dcterms:W3CDTF">2026-09-12T14:48:15Z</dcterms:created>
  <dcterms:modified xsi:type="dcterms:W3CDTF">2026-09-12T17:50:34Z</dcterms:modified>
</cp:coreProperties>
</file>